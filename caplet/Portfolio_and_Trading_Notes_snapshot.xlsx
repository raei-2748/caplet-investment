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tables/table2.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knoxnswedu-my.sharepoint.com/personal/jiwang27_knox_nsw_edu_au/Documents/"/>
    </mc:Choice>
  </mc:AlternateContent>
  <xr:revisionPtr revIDLastSave="3" documentId="8_{7534CAAC-6C69-8947-BC29-C4735B8F06D4}" xr6:coauthVersionLast="47" xr6:coauthVersionMax="47" xr10:uidLastSave="{E6CF0BBD-6F91-4442-A5FE-C70A1E6B61F1}"/>
  <bookViews>
    <workbookView xWindow="11320" yWindow="3600" windowWidth="35100" windowHeight="22240" firstSheet="5" xr2:uid="{00000000-000D-0000-FFFF-FFFF00000000}"/>
  </bookViews>
  <sheets>
    <sheet name="Portfolio" sheetId="1" r:id="rId1"/>
    <sheet name="Book L" sheetId="2" r:id="rId2"/>
    <sheet name="Trade Log" sheetId="3" r:id="rId3"/>
    <sheet name="TN Analysis" sheetId="4" r:id="rId4"/>
    <sheet name="WInS Notes" sheetId="5" r:id="rId5"/>
    <sheet name="R&amp;B Tickets" sheetId="6" r:id="rId6"/>
    <sheet name="R&amp;B Notes" sheetId="7" r:id="rId7"/>
  </sheets>
  <definedNames>
    <definedName name="CommBond">Portfolio!$G$12</definedName>
    <definedName name="CommETF">Portfolio!$G$11</definedName>
    <definedName name="NoteLimit">Portfolio!$G$15</definedName>
    <definedName name="PlanHoldings">Portfolio!$B$20:$C$30</definedName>
    <definedName name="_xlnm.Print_Titles" localSheetId="6">'R&amp;B Notes'!$4:$4</definedName>
    <definedName name="_xlnm.Print_Titles" localSheetId="5">'R&amp;B Tickets'!$9:$9</definedName>
    <definedName name="_xlnm.Print_Titles" localSheetId="2">'Trade Log'!$1:$1</definedName>
    <definedName name="StartCash">Portfolio!$G$10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6" i="7" l="1"/>
  <c r="P36" i="7" s="1"/>
  <c r="L36" i="7"/>
  <c r="N35" i="7"/>
  <c r="P35" i="7" s="1"/>
  <c r="L35" i="7"/>
  <c r="N34" i="7"/>
  <c r="P34" i="7" s="1"/>
  <c r="L34" i="7"/>
  <c r="N33" i="7"/>
  <c r="O33" i="7" s="1"/>
  <c r="L33" i="7"/>
  <c r="N32" i="7"/>
  <c r="P32" i="7" s="1"/>
  <c r="L32" i="7"/>
  <c r="N31" i="7"/>
  <c r="P31" i="7" s="1"/>
  <c r="L31" i="7"/>
  <c r="N30" i="7"/>
  <c r="P30" i="7" s="1"/>
  <c r="L30" i="7"/>
  <c r="P29" i="7"/>
  <c r="O29" i="7"/>
  <c r="N29" i="7"/>
  <c r="L29" i="7"/>
  <c r="O28" i="7"/>
  <c r="N28" i="7"/>
  <c r="P28" i="7" s="1"/>
  <c r="L28" i="7"/>
  <c r="N27" i="7"/>
  <c r="P27" i="7" s="1"/>
  <c r="L27" i="7"/>
  <c r="P26" i="7"/>
  <c r="O26" i="7"/>
  <c r="N26" i="7"/>
  <c r="L26" i="7"/>
  <c r="N25" i="7"/>
  <c r="P25" i="7" s="1"/>
  <c r="L25" i="7"/>
  <c r="N24" i="7"/>
  <c r="P24" i="7" s="1"/>
  <c r="L24" i="7"/>
  <c r="P23" i="7"/>
  <c r="O23" i="7"/>
  <c r="N23" i="7"/>
  <c r="L23" i="7"/>
  <c r="N22" i="7"/>
  <c r="P22" i="7" s="1"/>
  <c r="L22" i="7"/>
  <c r="N21" i="7"/>
  <c r="P21" i="7" s="1"/>
  <c r="L21" i="7"/>
  <c r="N20" i="7"/>
  <c r="P20" i="7" s="1"/>
  <c r="L20" i="7"/>
  <c r="N19" i="7"/>
  <c r="P19" i="7" s="1"/>
  <c r="L19" i="7"/>
  <c r="N18" i="7"/>
  <c r="P18" i="7" s="1"/>
  <c r="L18" i="7"/>
  <c r="N17" i="7"/>
  <c r="P17" i="7" s="1"/>
  <c r="L17" i="7"/>
  <c r="P16" i="7"/>
  <c r="O16" i="7"/>
  <c r="N16" i="7"/>
  <c r="L16" i="7"/>
  <c r="N15" i="7"/>
  <c r="P15" i="7" s="1"/>
  <c r="L15" i="7"/>
  <c r="N14" i="7"/>
  <c r="P14" i="7" s="1"/>
  <c r="L14" i="7"/>
  <c r="P13" i="7"/>
  <c r="O13" i="7"/>
  <c r="N13" i="7"/>
  <c r="L13" i="7"/>
  <c r="N12" i="7"/>
  <c r="P12" i="7" s="1"/>
  <c r="L12" i="7"/>
  <c r="N11" i="7"/>
  <c r="O11" i="7" s="1"/>
  <c r="L11" i="7"/>
  <c r="N10" i="7"/>
  <c r="P10" i="7" s="1"/>
  <c r="L10" i="7"/>
  <c r="O9" i="7"/>
  <c r="N9" i="7"/>
  <c r="P9" i="7" s="1"/>
  <c r="L9" i="7"/>
  <c r="N8" i="7"/>
  <c r="P8" i="7" s="1"/>
  <c r="L8" i="7"/>
  <c r="N7" i="7"/>
  <c r="P7" i="7" s="1"/>
  <c r="L7" i="7"/>
  <c r="O6" i="7"/>
  <c r="N6" i="7"/>
  <c r="P6" i="7" s="1"/>
  <c r="L6" i="7"/>
  <c r="N5" i="7"/>
  <c r="P5" i="7" s="1"/>
  <c r="L5" i="7"/>
  <c r="B34" i="6"/>
  <c r="G34" i="6" s="1"/>
  <c r="B33" i="6"/>
  <c r="G33" i="6" s="1"/>
  <c r="AA30" i="6"/>
  <c r="P30" i="6"/>
  <c r="R30" i="6" s="1"/>
  <c r="AA29" i="6"/>
  <c r="P29" i="6"/>
  <c r="R29" i="6" s="1"/>
  <c r="AA28" i="6"/>
  <c r="P28" i="6"/>
  <c r="R28" i="6" s="1"/>
  <c r="AA27" i="6"/>
  <c r="R27" i="6"/>
  <c r="P27" i="6"/>
  <c r="Q27" i="6" s="1"/>
  <c r="T27" i="6" s="1"/>
  <c r="AA26" i="6"/>
  <c r="P26" i="6"/>
  <c r="Q26" i="6" s="1"/>
  <c r="T26" i="6" s="1"/>
  <c r="AA25" i="6"/>
  <c r="P25" i="6"/>
  <c r="R25" i="6" s="1"/>
  <c r="AA24" i="6"/>
  <c r="P24" i="6"/>
  <c r="R24" i="6" s="1"/>
  <c r="AA23" i="6"/>
  <c r="P23" i="6"/>
  <c r="R23" i="6" s="1"/>
  <c r="AA22" i="6"/>
  <c r="P22" i="6"/>
  <c r="Q22" i="6" s="1"/>
  <c r="T22" i="6" s="1"/>
  <c r="AA21" i="6"/>
  <c r="P21" i="6"/>
  <c r="C34" i="6" s="1"/>
  <c r="AA20" i="6"/>
  <c r="P20" i="6"/>
  <c r="R20" i="6" s="1"/>
  <c r="AA19" i="6"/>
  <c r="P19" i="6"/>
  <c r="R19" i="6" s="1"/>
  <c r="AA18" i="6"/>
  <c r="P18" i="6"/>
  <c r="R18" i="6" s="1"/>
  <c r="AA17" i="6"/>
  <c r="R17" i="6"/>
  <c r="P17" i="6"/>
  <c r="Q17" i="6" s="1"/>
  <c r="T17" i="6" s="1"/>
  <c r="AA16" i="6"/>
  <c r="P16" i="6"/>
  <c r="Q16" i="6" s="1"/>
  <c r="T16" i="6" s="1"/>
  <c r="AA15" i="6"/>
  <c r="P15" i="6"/>
  <c r="R15" i="6" s="1"/>
  <c r="AA14" i="6"/>
  <c r="T14" i="6"/>
  <c r="Q14" i="6"/>
  <c r="P14" i="6"/>
  <c r="R14" i="6" s="1"/>
  <c r="AA13" i="6"/>
  <c r="P13" i="6"/>
  <c r="R13" i="6" s="1"/>
  <c r="AA12" i="6"/>
  <c r="P12" i="6"/>
  <c r="Q12" i="6" s="1"/>
  <c r="T12" i="6" s="1"/>
  <c r="AA11" i="6"/>
  <c r="R11" i="6"/>
  <c r="P11" i="6"/>
  <c r="Q11" i="6" s="1"/>
  <c r="T11" i="6" s="1"/>
  <c r="AA10" i="6"/>
  <c r="P10" i="6"/>
  <c r="R10" i="6" s="1"/>
  <c r="J7" i="4"/>
  <c r="I7" i="4"/>
  <c r="G7" i="4"/>
  <c r="F7" i="4"/>
  <c r="E7" i="4"/>
  <c r="D7" i="4"/>
  <c r="C7" i="4"/>
  <c r="J6" i="4"/>
  <c r="I6" i="4"/>
  <c r="G6" i="4"/>
  <c r="F6" i="4"/>
  <c r="E6" i="4"/>
  <c r="D6" i="4"/>
  <c r="C6" i="4"/>
  <c r="J5" i="4"/>
  <c r="I5" i="4"/>
  <c r="G5" i="4"/>
  <c r="F5" i="4"/>
  <c r="E5" i="4"/>
  <c r="D5" i="4"/>
  <c r="C5" i="4"/>
  <c r="O210" i="3"/>
  <c r="N210" i="3"/>
  <c r="L210" i="3"/>
  <c r="K210" i="3"/>
  <c r="J210" i="3"/>
  <c r="I210" i="3"/>
  <c r="A210" i="3"/>
  <c r="O209" i="3"/>
  <c r="N209" i="3"/>
  <c r="L209" i="3"/>
  <c r="K209" i="3"/>
  <c r="J209" i="3"/>
  <c r="I209" i="3"/>
  <c r="A209" i="3"/>
  <c r="O208" i="3"/>
  <c r="N208" i="3"/>
  <c r="L208" i="3"/>
  <c r="K208" i="3"/>
  <c r="J208" i="3"/>
  <c r="I208" i="3"/>
  <c r="A208" i="3"/>
  <c r="O207" i="3"/>
  <c r="N207" i="3"/>
  <c r="L207" i="3"/>
  <c r="K207" i="3"/>
  <c r="J207" i="3"/>
  <c r="I207" i="3"/>
  <c r="A207" i="3"/>
  <c r="O206" i="3"/>
  <c r="N206" i="3"/>
  <c r="L206" i="3"/>
  <c r="K206" i="3"/>
  <c r="J206" i="3"/>
  <c r="I206" i="3"/>
  <c r="A206" i="3"/>
  <c r="O205" i="3"/>
  <c r="N205" i="3"/>
  <c r="L205" i="3"/>
  <c r="K205" i="3"/>
  <c r="J205" i="3"/>
  <c r="I205" i="3"/>
  <c r="A205" i="3"/>
  <c r="O204" i="3"/>
  <c r="N204" i="3"/>
  <c r="L204" i="3"/>
  <c r="K204" i="3"/>
  <c r="J204" i="3"/>
  <c r="I204" i="3"/>
  <c r="A204" i="3"/>
  <c r="O203" i="3"/>
  <c r="N203" i="3"/>
  <c r="L203" i="3"/>
  <c r="K203" i="3"/>
  <c r="J203" i="3"/>
  <c r="I203" i="3"/>
  <c r="A203" i="3"/>
  <c r="O202" i="3"/>
  <c r="N202" i="3"/>
  <c r="L202" i="3"/>
  <c r="K202" i="3"/>
  <c r="J202" i="3"/>
  <c r="I202" i="3"/>
  <c r="A202" i="3"/>
  <c r="O201" i="3"/>
  <c r="N201" i="3"/>
  <c r="L201" i="3"/>
  <c r="K201" i="3"/>
  <c r="J201" i="3"/>
  <c r="I201" i="3"/>
  <c r="A201" i="3"/>
  <c r="O200" i="3"/>
  <c r="N200" i="3"/>
  <c r="L200" i="3"/>
  <c r="K200" i="3"/>
  <c r="J200" i="3"/>
  <c r="I200" i="3"/>
  <c r="A200" i="3"/>
  <c r="O199" i="3"/>
  <c r="N199" i="3"/>
  <c r="L199" i="3"/>
  <c r="K199" i="3"/>
  <c r="J199" i="3"/>
  <c r="I199" i="3"/>
  <c r="A199" i="3"/>
  <c r="O198" i="3"/>
  <c r="N198" i="3"/>
  <c r="L198" i="3"/>
  <c r="K198" i="3"/>
  <c r="J198" i="3"/>
  <c r="I198" i="3"/>
  <c r="A198" i="3"/>
  <c r="O197" i="3"/>
  <c r="N197" i="3"/>
  <c r="L197" i="3"/>
  <c r="K197" i="3"/>
  <c r="J197" i="3"/>
  <c r="I197" i="3"/>
  <c r="A197" i="3"/>
  <c r="O196" i="3"/>
  <c r="N196" i="3"/>
  <c r="L196" i="3"/>
  <c r="K196" i="3"/>
  <c r="J196" i="3"/>
  <c r="I196" i="3"/>
  <c r="A196" i="3"/>
  <c r="O195" i="3"/>
  <c r="N195" i="3"/>
  <c r="L195" i="3"/>
  <c r="K195" i="3"/>
  <c r="J195" i="3"/>
  <c r="I195" i="3"/>
  <c r="A195" i="3"/>
  <c r="O194" i="3"/>
  <c r="N194" i="3"/>
  <c r="L194" i="3"/>
  <c r="K194" i="3"/>
  <c r="J194" i="3"/>
  <c r="I194" i="3"/>
  <c r="A194" i="3"/>
  <c r="O193" i="3"/>
  <c r="N193" i="3"/>
  <c r="L193" i="3"/>
  <c r="K193" i="3"/>
  <c r="J193" i="3"/>
  <c r="I193" i="3"/>
  <c r="A193" i="3"/>
  <c r="O192" i="3"/>
  <c r="N192" i="3"/>
  <c r="L192" i="3"/>
  <c r="K192" i="3"/>
  <c r="J192" i="3"/>
  <c r="I192" i="3"/>
  <c r="A192" i="3"/>
  <c r="O191" i="3"/>
  <c r="N191" i="3"/>
  <c r="L191" i="3"/>
  <c r="K191" i="3"/>
  <c r="J191" i="3"/>
  <c r="I191" i="3"/>
  <c r="A191" i="3"/>
  <c r="O190" i="3"/>
  <c r="N190" i="3"/>
  <c r="L190" i="3"/>
  <c r="K190" i="3"/>
  <c r="J190" i="3"/>
  <c r="I190" i="3"/>
  <c r="A190" i="3"/>
  <c r="O189" i="3"/>
  <c r="N189" i="3"/>
  <c r="L189" i="3"/>
  <c r="K189" i="3"/>
  <c r="J189" i="3"/>
  <c r="I189" i="3"/>
  <c r="A189" i="3"/>
  <c r="O188" i="3"/>
  <c r="N188" i="3"/>
  <c r="L188" i="3"/>
  <c r="K188" i="3"/>
  <c r="J188" i="3"/>
  <c r="I188" i="3"/>
  <c r="A188" i="3"/>
  <c r="O187" i="3"/>
  <c r="N187" i="3"/>
  <c r="L187" i="3"/>
  <c r="K187" i="3"/>
  <c r="J187" i="3"/>
  <c r="I187" i="3"/>
  <c r="A187" i="3"/>
  <c r="O186" i="3"/>
  <c r="N186" i="3"/>
  <c r="L186" i="3"/>
  <c r="K186" i="3"/>
  <c r="J186" i="3"/>
  <c r="I186" i="3"/>
  <c r="A186" i="3"/>
  <c r="O185" i="3"/>
  <c r="N185" i="3"/>
  <c r="L185" i="3"/>
  <c r="K185" i="3"/>
  <c r="J185" i="3"/>
  <c r="I185" i="3"/>
  <c r="A185" i="3"/>
  <c r="O184" i="3"/>
  <c r="N184" i="3"/>
  <c r="L184" i="3"/>
  <c r="K184" i="3"/>
  <c r="J184" i="3"/>
  <c r="I184" i="3"/>
  <c r="A184" i="3"/>
  <c r="O183" i="3"/>
  <c r="N183" i="3"/>
  <c r="L183" i="3"/>
  <c r="K183" i="3"/>
  <c r="J183" i="3"/>
  <c r="I183" i="3"/>
  <c r="A183" i="3"/>
  <c r="O182" i="3"/>
  <c r="N182" i="3"/>
  <c r="L182" i="3"/>
  <c r="K182" i="3"/>
  <c r="J182" i="3"/>
  <c r="I182" i="3"/>
  <c r="A182" i="3"/>
  <c r="O181" i="3"/>
  <c r="N181" i="3"/>
  <c r="L181" i="3"/>
  <c r="K181" i="3"/>
  <c r="J181" i="3"/>
  <c r="I181" i="3"/>
  <c r="A181" i="3"/>
  <c r="O180" i="3"/>
  <c r="N180" i="3"/>
  <c r="L180" i="3"/>
  <c r="K180" i="3"/>
  <c r="J180" i="3"/>
  <c r="I180" i="3"/>
  <c r="A180" i="3"/>
  <c r="O179" i="3"/>
  <c r="N179" i="3"/>
  <c r="L179" i="3"/>
  <c r="K179" i="3"/>
  <c r="J179" i="3"/>
  <c r="I179" i="3"/>
  <c r="A179" i="3"/>
  <c r="O178" i="3"/>
  <c r="N178" i="3"/>
  <c r="L178" i="3"/>
  <c r="K178" i="3"/>
  <c r="J178" i="3"/>
  <c r="I178" i="3"/>
  <c r="A178" i="3"/>
  <c r="O177" i="3"/>
  <c r="N177" i="3"/>
  <c r="L177" i="3"/>
  <c r="K177" i="3"/>
  <c r="J177" i="3"/>
  <c r="I177" i="3"/>
  <c r="A177" i="3"/>
  <c r="O176" i="3"/>
  <c r="N176" i="3"/>
  <c r="L176" i="3"/>
  <c r="K176" i="3"/>
  <c r="J176" i="3"/>
  <c r="I176" i="3"/>
  <c r="A176" i="3"/>
  <c r="O175" i="3"/>
  <c r="N175" i="3"/>
  <c r="L175" i="3"/>
  <c r="K175" i="3"/>
  <c r="J175" i="3"/>
  <c r="I175" i="3"/>
  <c r="A175" i="3"/>
  <c r="O174" i="3"/>
  <c r="N174" i="3"/>
  <c r="L174" i="3"/>
  <c r="K174" i="3"/>
  <c r="J174" i="3"/>
  <c r="I174" i="3"/>
  <c r="A174" i="3"/>
  <c r="O173" i="3"/>
  <c r="N173" i="3"/>
  <c r="L173" i="3"/>
  <c r="K173" i="3"/>
  <c r="J173" i="3"/>
  <c r="I173" i="3"/>
  <c r="A173" i="3"/>
  <c r="O172" i="3"/>
  <c r="N172" i="3"/>
  <c r="L172" i="3"/>
  <c r="K172" i="3"/>
  <c r="J172" i="3"/>
  <c r="I172" i="3"/>
  <c r="A172" i="3"/>
  <c r="O171" i="3"/>
  <c r="N171" i="3"/>
  <c r="L171" i="3"/>
  <c r="K171" i="3"/>
  <c r="J171" i="3"/>
  <c r="I171" i="3"/>
  <c r="A171" i="3"/>
  <c r="O170" i="3"/>
  <c r="N170" i="3"/>
  <c r="L170" i="3"/>
  <c r="K170" i="3"/>
  <c r="J170" i="3"/>
  <c r="I170" i="3"/>
  <c r="A170" i="3"/>
  <c r="O169" i="3"/>
  <c r="N169" i="3"/>
  <c r="L169" i="3"/>
  <c r="K169" i="3"/>
  <c r="J169" i="3"/>
  <c r="I169" i="3"/>
  <c r="A169" i="3"/>
  <c r="O168" i="3"/>
  <c r="N168" i="3"/>
  <c r="L168" i="3"/>
  <c r="K168" i="3"/>
  <c r="J168" i="3"/>
  <c r="I168" i="3"/>
  <c r="A168" i="3"/>
  <c r="O167" i="3"/>
  <c r="N167" i="3"/>
  <c r="L167" i="3"/>
  <c r="K167" i="3"/>
  <c r="J167" i="3"/>
  <c r="I167" i="3"/>
  <c r="A167" i="3"/>
  <c r="O166" i="3"/>
  <c r="N166" i="3"/>
  <c r="L166" i="3"/>
  <c r="K166" i="3"/>
  <c r="J166" i="3"/>
  <c r="I166" i="3"/>
  <c r="A166" i="3"/>
  <c r="O165" i="3"/>
  <c r="N165" i="3"/>
  <c r="L165" i="3"/>
  <c r="K165" i="3"/>
  <c r="J165" i="3"/>
  <c r="I165" i="3"/>
  <c r="A165" i="3"/>
  <c r="O164" i="3"/>
  <c r="N164" i="3"/>
  <c r="L164" i="3"/>
  <c r="K164" i="3"/>
  <c r="J164" i="3"/>
  <c r="I164" i="3"/>
  <c r="A164" i="3"/>
  <c r="O163" i="3"/>
  <c r="N163" i="3"/>
  <c r="L163" i="3"/>
  <c r="K163" i="3"/>
  <c r="J163" i="3"/>
  <c r="I163" i="3"/>
  <c r="A163" i="3"/>
  <c r="O162" i="3"/>
  <c r="N162" i="3"/>
  <c r="L162" i="3"/>
  <c r="K162" i="3"/>
  <c r="J162" i="3"/>
  <c r="I162" i="3"/>
  <c r="A162" i="3"/>
  <c r="O161" i="3"/>
  <c r="N161" i="3"/>
  <c r="L161" i="3"/>
  <c r="K161" i="3"/>
  <c r="J161" i="3"/>
  <c r="I161" i="3"/>
  <c r="A161" i="3"/>
  <c r="O160" i="3"/>
  <c r="N160" i="3"/>
  <c r="L160" i="3"/>
  <c r="K160" i="3"/>
  <c r="J160" i="3"/>
  <c r="I160" i="3"/>
  <c r="A160" i="3"/>
  <c r="O159" i="3"/>
  <c r="N159" i="3"/>
  <c r="L159" i="3"/>
  <c r="K159" i="3"/>
  <c r="J159" i="3"/>
  <c r="I159" i="3"/>
  <c r="A159" i="3"/>
  <c r="O158" i="3"/>
  <c r="N158" i="3"/>
  <c r="L158" i="3"/>
  <c r="K158" i="3"/>
  <c r="J158" i="3"/>
  <c r="I158" i="3"/>
  <c r="A158" i="3"/>
  <c r="O157" i="3"/>
  <c r="N157" i="3"/>
  <c r="L157" i="3"/>
  <c r="K157" i="3"/>
  <c r="J157" i="3"/>
  <c r="I157" i="3"/>
  <c r="A157" i="3"/>
  <c r="O156" i="3"/>
  <c r="N156" i="3"/>
  <c r="L156" i="3"/>
  <c r="K156" i="3"/>
  <c r="J156" i="3"/>
  <c r="I156" i="3"/>
  <c r="A156" i="3"/>
  <c r="O155" i="3"/>
  <c r="N155" i="3"/>
  <c r="L155" i="3"/>
  <c r="K155" i="3"/>
  <c r="J155" i="3"/>
  <c r="I155" i="3"/>
  <c r="A155" i="3"/>
  <c r="O154" i="3"/>
  <c r="N154" i="3"/>
  <c r="L154" i="3"/>
  <c r="K154" i="3"/>
  <c r="J154" i="3"/>
  <c r="I154" i="3"/>
  <c r="A154" i="3"/>
  <c r="O153" i="3"/>
  <c r="N153" i="3"/>
  <c r="L153" i="3"/>
  <c r="K153" i="3"/>
  <c r="J153" i="3"/>
  <c r="I153" i="3"/>
  <c r="A153" i="3"/>
  <c r="O152" i="3"/>
  <c r="N152" i="3"/>
  <c r="L152" i="3"/>
  <c r="K152" i="3"/>
  <c r="J152" i="3"/>
  <c r="I152" i="3"/>
  <c r="A152" i="3"/>
  <c r="O151" i="3"/>
  <c r="N151" i="3"/>
  <c r="L151" i="3"/>
  <c r="K151" i="3"/>
  <c r="J151" i="3"/>
  <c r="I151" i="3"/>
  <c r="A151" i="3"/>
  <c r="O150" i="3"/>
  <c r="N150" i="3"/>
  <c r="L150" i="3"/>
  <c r="K150" i="3"/>
  <c r="J150" i="3"/>
  <c r="I150" i="3"/>
  <c r="A150" i="3"/>
  <c r="O149" i="3"/>
  <c r="N149" i="3"/>
  <c r="L149" i="3"/>
  <c r="K149" i="3"/>
  <c r="J149" i="3"/>
  <c r="I149" i="3"/>
  <c r="A149" i="3"/>
  <c r="O148" i="3"/>
  <c r="N148" i="3"/>
  <c r="L148" i="3"/>
  <c r="K148" i="3"/>
  <c r="J148" i="3"/>
  <c r="I148" i="3"/>
  <c r="A148" i="3"/>
  <c r="O147" i="3"/>
  <c r="N147" i="3"/>
  <c r="L147" i="3"/>
  <c r="K147" i="3"/>
  <c r="J147" i="3"/>
  <c r="I147" i="3"/>
  <c r="A147" i="3"/>
  <c r="O146" i="3"/>
  <c r="N146" i="3"/>
  <c r="L146" i="3"/>
  <c r="K146" i="3"/>
  <c r="J146" i="3"/>
  <c r="I146" i="3"/>
  <c r="A146" i="3"/>
  <c r="O145" i="3"/>
  <c r="N145" i="3"/>
  <c r="L145" i="3"/>
  <c r="K145" i="3"/>
  <c r="J145" i="3"/>
  <c r="I145" i="3"/>
  <c r="A145" i="3"/>
  <c r="O144" i="3"/>
  <c r="N144" i="3"/>
  <c r="L144" i="3"/>
  <c r="K144" i="3"/>
  <c r="J144" i="3"/>
  <c r="I144" i="3"/>
  <c r="A144" i="3"/>
  <c r="O143" i="3"/>
  <c r="N143" i="3"/>
  <c r="L143" i="3"/>
  <c r="K143" i="3"/>
  <c r="J143" i="3"/>
  <c r="I143" i="3"/>
  <c r="A143" i="3"/>
  <c r="O142" i="3"/>
  <c r="N142" i="3"/>
  <c r="L142" i="3"/>
  <c r="K142" i="3"/>
  <c r="J142" i="3"/>
  <c r="I142" i="3"/>
  <c r="A142" i="3"/>
  <c r="O141" i="3"/>
  <c r="N141" i="3"/>
  <c r="L141" i="3"/>
  <c r="K141" i="3"/>
  <c r="J141" i="3"/>
  <c r="I141" i="3"/>
  <c r="A141" i="3"/>
  <c r="O140" i="3"/>
  <c r="N140" i="3"/>
  <c r="L140" i="3"/>
  <c r="K140" i="3"/>
  <c r="J140" i="3"/>
  <c r="I140" i="3"/>
  <c r="A140" i="3"/>
  <c r="O139" i="3"/>
  <c r="N139" i="3"/>
  <c r="L139" i="3"/>
  <c r="K139" i="3"/>
  <c r="J139" i="3"/>
  <c r="I139" i="3"/>
  <c r="A139" i="3"/>
  <c r="O138" i="3"/>
  <c r="N138" i="3"/>
  <c r="L138" i="3"/>
  <c r="K138" i="3"/>
  <c r="J138" i="3"/>
  <c r="I138" i="3"/>
  <c r="A138" i="3"/>
  <c r="O137" i="3"/>
  <c r="N137" i="3"/>
  <c r="L137" i="3"/>
  <c r="K137" i="3"/>
  <c r="J137" i="3"/>
  <c r="I137" i="3"/>
  <c r="A137" i="3"/>
  <c r="O136" i="3"/>
  <c r="N136" i="3"/>
  <c r="L136" i="3"/>
  <c r="K136" i="3"/>
  <c r="J136" i="3"/>
  <c r="I136" i="3"/>
  <c r="A136" i="3"/>
  <c r="O135" i="3"/>
  <c r="N135" i="3"/>
  <c r="L135" i="3"/>
  <c r="K135" i="3"/>
  <c r="J135" i="3"/>
  <c r="I135" i="3"/>
  <c r="A135" i="3"/>
  <c r="O134" i="3"/>
  <c r="N134" i="3"/>
  <c r="L134" i="3"/>
  <c r="K134" i="3"/>
  <c r="J134" i="3"/>
  <c r="I134" i="3"/>
  <c r="A134" i="3"/>
  <c r="O133" i="3"/>
  <c r="N133" i="3"/>
  <c r="L133" i="3"/>
  <c r="K133" i="3"/>
  <c r="J133" i="3"/>
  <c r="I133" i="3"/>
  <c r="A133" i="3"/>
  <c r="O132" i="3"/>
  <c r="N132" i="3"/>
  <c r="L132" i="3"/>
  <c r="K132" i="3"/>
  <c r="J132" i="3"/>
  <c r="I132" i="3"/>
  <c r="A132" i="3"/>
  <c r="O131" i="3"/>
  <c r="N131" i="3"/>
  <c r="L131" i="3"/>
  <c r="K131" i="3"/>
  <c r="J131" i="3"/>
  <c r="I131" i="3"/>
  <c r="A131" i="3"/>
  <c r="O130" i="3"/>
  <c r="N130" i="3"/>
  <c r="L130" i="3"/>
  <c r="K130" i="3"/>
  <c r="J130" i="3"/>
  <c r="I130" i="3"/>
  <c r="A130" i="3"/>
  <c r="O129" i="3"/>
  <c r="N129" i="3"/>
  <c r="L129" i="3"/>
  <c r="K129" i="3"/>
  <c r="J129" i="3"/>
  <c r="I129" i="3"/>
  <c r="A129" i="3"/>
  <c r="O128" i="3"/>
  <c r="N128" i="3"/>
  <c r="L128" i="3"/>
  <c r="K128" i="3"/>
  <c r="J128" i="3"/>
  <c r="I128" i="3"/>
  <c r="A128" i="3"/>
  <c r="O127" i="3"/>
  <c r="N127" i="3"/>
  <c r="L127" i="3"/>
  <c r="K127" i="3"/>
  <c r="J127" i="3"/>
  <c r="I127" i="3"/>
  <c r="A127" i="3"/>
  <c r="O126" i="3"/>
  <c r="N126" i="3"/>
  <c r="L126" i="3"/>
  <c r="K126" i="3"/>
  <c r="J126" i="3"/>
  <c r="I126" i="3"/>
  <c r="A126" i="3"/>
  <c r="O125" i="3"/>
  <c r="N125" i="3"/>
  <c r="L125" i="3"/>
  <c r="K125" i="3"/>
  <c r="J125" i="3"/>
  <c r="I125" i="3"/>
  <c r="A125" i="3"/>
  <c r="O124" i="3"/>
  <c r="N124" i="3"/>
  <c r="L124" i="3"/>
  <c r="K124" i="3"/>
  <c r="J124" i="3"/>
  <c r="I124" i="3"/>
  <c r="A124" i="3"/>
  <c r="O123" i="3"/>
  <c r="N123" i="3"/>
  <c r="L123" i="3"/>
  <c r="K123" i="3"/>
  <c r="J123" i="3"/>
  <c r="I123" i="3"/>
  <c r="A123" i="3"/>
  <c r="O122" i="3"/>
  <c r="N122" i="3"/>
  <c r="L122" i="3"/>
  <c r="K122" i="3"/>
  <c r="J122" i="3"/>
  <c r="I122" i="3"/>
  <c r="A122" i="3"/>
  <c r="O121" i="3"/>
  <c r="N121" i="3"/>
  <c r="L121" i="3"/>
  <c r="K121" i="3"/>
  <c r="J121" i="3"/>
  <c r="I121" i="3"/>
  <c r="A121" i="3"/>
  <c r="O120" i="3"/>
  <c r="N120" i="3"/>
  <c r="L120" i="3"/>
  <c r="K120" i="3"/>
  <c r="J120" i="3"/>
  <c r="I120" i="3"/>
  <c r="A120" i="3"/>
  <c r="O119" i="3"/>
  <c r="N119" i="3"/>
  <c r="L119" i="3"/>
  <c r="K119" i="3"/>
  <c r="J119" i="3"/>
  <c r="I119" i="3"/>
  <c r="A119" i="3"/>
  <c r="O118" i="3"/>
  <c r="N118" i="3"/>
  <c r="L118" i="3"/>
  <c r="K118" i="3"/>
  <c r="J118" i="3"/>
  <c r="I118" i="3"/>
  <c r="A118" i="3"/>
  <c r="O117" i="3"/>
  <c r="N117" i="3"/>
  <c r="L117" i="3"/>
  <c r="K117" i="3"/>
  <c r="J117" i="3"/>
  <c r="I117" i="3"/>
  <c r="A117" i="3"/>
  <c r="O116" i="3"/>
  <c r="N116" i="3"/>
  <c r="L116" i="3"/>
  <c r="K116" i="3"/>
  <c r="J116" i="3"/>
  <c r="I116" i="3"/>
  <c r="A116" i="3"/>
  <c r="O115" i="3"/>
  <c r="N115" i="3"/>
  <c r="L115" i="3"/>
  <c r="K115" i="3"/>
  <c r="J115" i="3"/>
  <c r="I115" i="3"/>
  <c r="A115" i="3"/>
  <c r="O114" i="3"/>
  <c r="N114" i="3"/>
  <c r="L114" i="3"/>
  <c r="K114" i="3"/>
  <c r="J114" i="3"/>
  <c r="I114" i="3"/>
  <c r="A114" i="3"/>
  <c r="O113" i="3"/>
  <c r="N113" i="3"/>
  <c r="L113" i="3"/>
  <c r="K113" i="3"/>
  <c r="J113" i="3"/>
  <c r="I113" i="3"/>
  <c r="A113" i="3"/>
  <c r="O112" i="3"/>
  <c r="N112" i="3"/>
  <c r="L112" i="3"/>
  <c r="K112" i="3"/>
  <c r="J112" i="3"/>
  <c r="I112" i="3"/>
  <c r="A112" i="3"/>
  <c r="O111" i="3"/>
  <c r="N111" i="3"/>
  <c r="L111" i="3"/>
  <c r="K111" i="3"/>
  <c r="J111" i="3"/>
  <c r="I111" i="3"/>
  <c r="A111" i="3"/>
  <c r="O110" i="3"/>
  <c r="N110" i="3"/>
  <c r="L110" i="3"/>
  <c r="K110" i="3"/>
  <c r="J110" i="3"/>
  <c r="I110" i="3"/>
  <c r="A110" i="3"/>
  <c r="O109" i="3"/>
  <c r="N109" i="3"/>
  <c r="L109" i="3"/>
  <c r="K109" i="3"/>
  <c r="J109" i="3"/>
  <c r="I109" i="3"/>
  <c r="A109" i="3"/>
  <c r="O108" i="3"/>
  <c r="N108" i="3"/>
  <c r="L108" i="3"/>
  <c r="K108" i="3"/>
  <c r="J108" i="3"/>
  <c r="I108" i="3"/>
  <c r="A108" i="3"/>
  <c r="O107" i="3"/>
  <c r="N107" i="3"/>
  <c r="L107" i="3"/>
  <c r="K107" i="3"/>
  <c r="J107" i="3"/>
  <c r="I107" i="3"/>
  <c r="A107" i="3"/>
  <c r="O106" i="3"/>
  <c r="N106" i="3"/>
  <c r="L106" i="3"/>
  <c r="K106" i="3"/>
  <c r="J106" i="3"/>
  <c r="I106" i="3"/>
  <c r="A106" i="3"/>
  <c r="O105" i="3"/>
  <c r="N105" i="3"/>
  <c r="L105" i="3"/>
  <c r="K105" i="3"/>
  <c r="J105" i="3"/>
  <c r="I105" i="3"/>
  <c r="A105" i="3"/>
  <c r="O104" i="3"/>
  <c r="N104" i="3"/>
  <c r="L104" i="3"/>
  <c r="K104" i="3"/>
  <c r="J104" i="3"/>
  <c r="I104" i="3"/>
  <c r="A104" i="3"/>
  <c r="O103" i="3"/>
  <c r="N103" i="3"/>
  <c r="L103" i="3"/>
  <c r="K103" i="3"/>
  <c r="J103" i="3"/>
  <c r="I103" i="3"/>
  <c r="A103" i="3"/>
  <c r="O102" i="3"/>
  <c r="N102" i="3"/>
  <c r="L102" i="3"/>
  <c r="K102" i="3"/>
  <c r="J102" i="3"/>
  <c r="I102" i="3"/>
  <c r="A102" i="3"/>
  <c r="O101" i="3"/>
  <c r="N101" i="3"/>
  <c r="L101" i="3"/>
  <c r="K101" i="3"/>
  <c r="J101" i="3"/>
  <c r="I101" i="3"/>
  <c r="A101" i="3"/>
  <c r="O100" i="3"/>
  <c r="N100" i="3"/>
  <c r="L100" i="3"/>
  <c r="K100" i="3"/>
  <c r="J100" i="3"/>
  <c r="I100" i="3"/>
  <c r="A100" i="3"/>
  <c r="O99" i="3"/>
  <c r="N99" i="3"/>
  <c r="L99" i="3"/>
  <c r="K99" i="3"/>
  <c r="J99" i="3"/>
  <c r="I99" i="3"/>
  <c r="A99" i="3"/>
  <c r="O98" i="3"/>
  <c r="N98" i="3"/>
  <c r="L98" i="3"/>
  <c r="K98" i="3"/>
  <c r="J98" i="3"/>
  <c r="I98" i="3"/>
  <c r="A98" i="3"/>
  <c r="O97" i="3"/>
  <c r="N97" i="3"/>
  <c r="L97" i="3"/>
  <c r="K97" i="3"/>
  <c r="J97" i="3"/>
  <c r="I97" i="3"/>
  <c r="A97" i="3"/>
  <c r="O96" i="3"/>
  <c r="N96" i="3"/>
  <c r="L96" i="3"/>
  <c r="K96" i="3"/>
  <c r="J96" i="3"/>
  <c r="I96" i="3"/>
  <c r="A96" i="3"/>
  <c r="O95" i="3"/>
  <c r="N95" i="3"/>
  <c r="L95" i="3"/>
  <c r="K95" i="3"/>
  <c r="J95" i="3"/>
  <c r="I95" i="3"/>
  <c r="A95" i="3"/>
  <c r="O94" i="3"/>
  <c r="N94" i="3"/>
  <c r="L94" i="3"/>
  <c r="K94" i="3"/>
  <c r="J94" i="3"/>
  <c r="I94" i="3"/>
  <c r="A94" i="3"/>
  <c r="O93" i="3"/>
  <c r="N93" i="3"/>
  <c r="L93" i="3"/>
  <c r="K93" i="3"/>
  <c r="J93" i="3"/>
  <c r="I93" i="3"/>
  <c r="A93" i="3"/>
  <c r="O92" i="3"/>
  <c r="N92" i="3"/>
  <c r="L92" i="3"/>
  <c r="K92" i="3"/>
  <c r="J92" i="3"/>
  <c r="I92" i="3"/>
  <c r="A92" i="3"/>
  <c r="O91" i="3"/>
  <c r="N91" i="3"/>
  <c r="L91" i="3"/>
  <c r="K91" i="3"/>
  <c r="J91" i="3"/>
  <c r="I91" i="3"/>
  <c r="A91" i="3"/>
  <c r="O90" i="3"/>
  <c r="N90" i="3"/>
  <c r="L90" i="3"/>
  <c r="K90" i="3"/>
  <c r="J90" i="3"/>
  <c r="I90" i="3"/>
  <c r="A90" i="3"/>
  <c r="O89" i="3"/>
  <c r="N89" i="3"/>
  <c r="L89" i="3"/>
  <c r="K89" i="3"/>
  <c r="J89" i="3"/>
  <c r="I89" i="3"/>
  <c r="A89" i="3"/>
  <c r="O88" i="3"/>
  <c r="N88" i="3"/>
  <c r="L88" i="3"/>
  <c r="K88" i="3"/>
  <c r="J88" i="3"/>
  <c r="I88" i="3"/>
  <c r="A88" i="3"/>
  <c r="O87" i="3"/>
  <c r="N87" i="3"/>
  <c r="L87" i="3"/>
  <c r="K87" i="3"/>
  <c r="J87" i="3"/>
  <c r="I87" i="3"/>
  <c r="A87" i="3"/>
  <c r="O86" i="3"/>
  <c r="N86" i="3"/>
  <c r="L86" i="3"/>
  <c r="K86" i="3"/>
  <c r="J86" i="3"/>
  <c r="I86" i="3"/>
  <c r="A86" i="3"/>
  <c r="O85" i="3"/>
  <c r="N85" i="3"/>
  <c r="L85" i="3"/>
  <c r="K85" i="3"/>
  <c r="J85" i="3"/>
  <c r="I85" i="3"/>
  <c r="A85" i="3"/>
  <c r="O84" i="3"/>
  <c r="N84" i="3"/>
  <c r="L84" i="3"/>
  <c r="K84" i="3"/>
  <c r="J84" i="3"/>
  <c r="I84" i="3"/>
  <c r="A84" i="3"/>
  <c r="O83" i="3"/>
  <c r="N83" i="3"/>
  <c r="L83" i="3"/>
  <c r="K83" i="3"/>
  <c r="J83" i="3"/>
  <c r="I83" i="3"/>
  <c r="A83" i="3"/>
  <c r="O82" i="3"/>
  <c r="N82" i="3"/>
  <c r="L82" i="3"/>
  <c r="K82" i="3"/>
  <c r="J82" i="3"/>
  <c r="I82" i="3"/>
  <c r="A82" i="3"/>
  <c r="O81" i="3"/>
  <c r="N81" i="3"/>
  <c r="L81" i="3"/>
  <c r="K81" i="3"/>
  <c r="J81" i="3"/>
  <c r="I81" i="3"/>
  <c r="A81" i="3"/>
  <c r="O80" i="3"/>
  <c r="N80" i="3"/>
  <c r="L80" i="3"/>
  <c r="K80" i="3"/>
  <c r="J80" i="3"/>
  <c r="I80" i="3"/>
  <c r="A80" i="3"/>
  <c r="O79" i="3"/>
  <c r="N79" i="3"/>
  <c r="L79" i="3"/>
  <c r="K79" i="3"/>
  <c r="J79" i="3"/>
  <c r="I79" i="3"/>
  <c r="A79" i="3"/>
  <c r="O78" i="3"/>
  <c r="N78" i="3"/>
  <c r="L78" i="3"/>
  <c r="K78" i="3"/>
  <c r="J78" i="3"/>
  <c r="I78" i="3"/>
  <c r="A78" i="3"/>
  <c r="O77" i="3"/>
  <c r="N77" i="3"/>
  <c r="L77" i="3"/>
  <c r="K77" i="3"/>
  <c r="J77" i="3"/>
  <c r="I77" i="3"/>
  <c r="A77" i="3"/>
  <c r="O76" i="3"/>
  <c r="N76" i="3"/>
  <c r="L76" i="3"/>
  <c r="K76" i="3"/>
  <c r="J76" i="3"/>
  <c r="I76" i="3"/>
  <c r="A76" i="3"/>
  <c r="O75" i="3"/>
  <c r="N75" i="3"/>
  <c r="L75" i="3"/>
  <c r="K75" i="3"/>
  <c r="J75" i="3"/>
  <c r="I75" i="3"/>
  <c r="A75" i="3"/>
  <c r="O74" i="3"/>
  <c r="N74" i="3"/>
  <c r="L74" i="3"/>
  <c r="K74" i="3"/>
  <c r="J74" i="3"/>
  <c r="I74" i="3"/>
  <c r="A74" i="3"/>
  <c r="O73" i="3"/>
  <c r="N73" i="3"/>
  <c r="L73" i="3"/>
  <c r="K73" i="3"/>
  <c r="J73" i="3"/>
  <c r="I73" i="3"/>
  <c r="A73" i="3"/>
  <c r="O72" i="3"/>
  <c r="N72" i="3"/>
  <c r="L72" i="3"/>
  <c r="K72" i="3"/>
  <c r="J72" i="3"/>
  <c r="I72" i="3"/>
  <c r="A72" i="3"/>
  <c r="O71" i="3"/>
  <c r="N71" i="3"/>
  <c r="L71" i="3"/>
  <c r="K71" i="3"/>
  <c r="J71" i="3"/>
  <c r="I71" i="3"/>
  <c r="A71" i="3"/>
  <c r="O70" i="3"/>
  <c r="N70" i="3"/>
  <c r="L70" i="3"/>
  <c r="K70" i="3"/>
  <c r="J70" i="3"/>
  <c r="I70" i="3"/>
  <c r="A70" i="3"/>
  <c r="O69" i="3"/>
  <c r="N69" i="3"/>
  <c r="L69" i="3"/>
  <c r="K69" i="3"/>
  <c r="J69" i="3"/>
  <c r="I69" i="3"/>
  <c r="A69" i="3"/>
  <c r="O68" i="3"/>
  <c r="N68" i="3"/>
  <c r="L68" i="3"/>
  <c r="K68" i="3"/>
  <c r="J68" i="3"/>
  <c r="I68" i="3"/>
  <c r="A68" i="3"/>
  <c r="O67" i="3"/>
  <c r="N67" i="3"/>
  <c r="L67" i="3"/>
  <c r="K67" i="3"/>
  <c r="J67" i="3"/>
  <c r="I67" i="3"/>
  <c r="A67" i="3"/>
  <c r="O66" i="3"/>
  <c r="N66" i="3"/>
  <c r="L66" i="3"/>
  <c r="K66" i="3"/>
  <c r="J66" i="3"/>
  <c r="I66" i="3"/>
  <c r="A66" i="3"/>
  <c r="O65" i="3"/>
  <c r="N65" i="3"/>
  <c r="L65" i="3"/>
  <c r="K65" i="3"/>
  <c r="J65" i="3"/>
  <c r="I65" i="3"/>
  <c r="A65" i="3"/>
  <c r="O64" i="3"/>
  <c r="N64" i="3"/>
  <c r="L64" i="3"/>
  <c r="K64" i="3"/>
  <c r="J64" i="3"/>
  <c r="I64" i="3"/>
  <c r="A64" i="3"/>
  <c r="O63" i="3"/>
  <c r="N63" i="3"/>
  <c r="L63" i="3"/>
  <c r="K63" i="3"/>
  <c r="J63" i="3"/>
  <c r="I63" i="3"/>
  <c r="A63" i="3"/>
  <c r="O62" i="3"/>
  <c r="N62" i="3"/>
  <c r="L62" i="3"/>
  <c r="K62" i="3"/>
  <c r="J62" i="3"/>
  <c r="I62" i="3"/>
  <c r="A62" i="3"/>
  <c r="O61" i="3"/>
  <c r="N61" i="3"/>
  <c r="L61" i="3"/>
  <c r="K61" i="3"/>
  <c r="J61" i="3"/>
  <c r="I61" i="3"/>
  <c r="A61" i="3"/>
  <c r="O60" i="3"/>
  <c r="N60" i="3"/>
  <c r="L60" i="3"/>
  <c r="K60" i="3"/>
  <c r="J60" i="3"/>
  <c r="I60" i="3"/>
  <c r="A60" i="3"/>
  <c r="O59" i="3"/>
  <c r="N59" i="3"/>
  <c r="L59" i="3"/>
  <c r="K59" i="3"/>
  <c r="J59" i="3"/>
  <c r="I59" i="3"/>
  <c r="A59" i="3"/>
  <c r="O58" i="3"/>
  <c r="N58" i="3"/>
  <c r="L58" i="3"/>
  <c r="K58" i="3"/>
  <c r="J58" i="3"/>
  <c r="I58" i="3"/>
  <c r="A58" i="3"/>
  <c r="O57" i="3"/>
  <c r="N57" i="3"/>
  <c r="L57" i="3"/>
  <c r="K57" i="3"/>
  <c r="J57" i="3"/>
  <c r="I57" i="3"/>
  <c r="A57" i="3"/>
  <c r="O56" i="3"/>
  <c r="N56" i="3"/>
  <c r="L56" i="3"/>
  <c r="K56" i="3"/>
  <c r="J56" i="3"/>
  <c r="I56" i="3"/>
  <c r="A56" i="3"/>
  <c r="O55" i="3"/>
  <c r="N55" i="3"/>
  <c r="L55" i="3"/>
  <c r="K55" i="3"/>
  <c r="J55" i="3"/>
  <c r="I55" i="3"/>
  <c r="A55" i="3"/>
  <c r="O54" i="3"/>
  <c r="N54" i="3"/>
  <c r="L54" i="3"/>
  <c r="K54" i="3"/>
  <c r="J54" i="3"/>
  <c r="I54" i="3"/>
  <c r="A54" i="3"/>
  <c r="O53" i="3"/>
  <c r="N53" i="3"/>
  <c r="L53" i="3"/>
  <c r="K53" i="3"/>
  <c r="J53" i="3"/>
  <c r="I53" i="3"/>
  <c r="A53" i="3"/>
  <c r="O52" i="3"/>
  <c r="N52" i="3"/>
  <c r="L52" i="3"/>
  <c r="K52" i="3"/>
  <c r="J52" i="3"/>
  <c r="I52" i="3"/>
  <c r="A52" i="3"/>
  <c r="O51" i="3"/>
  <c r="N51" i="3"/>
  <c r="L51" i="3"/>
  <c r="K51" i="3"/>
  <c r="J51" i="3"/>
  <c r="I51" i="3"/>
  <c r="A51" i="3"/>
  <c r="O50" i="3"/>
  <c r="N50" i="3"/>
  <c r="L50" i="3"/>
  <c r="K50" i="3"/>
  <c r="J50" i="3"/>
  <c r="I50" i="3"/>
  <c r="A50" i="3"/>
  <c r="O49" i="3"/>
  <c r="N49" i="3"/>
  <c r="L49" i="3"/>
  <c r="K49" i="3"/>
  <c r="J49" i="3"/>
  <c r="I49" i="3"/>
  <c r="A49" i="3"/>
  <c r="O48" i="3"/>
  <c r="N48" i="3"/>
  <c r="L48" i="3"/>
  <c r="K48" i="3"/>
  <c r="J48" i="3"/>
  <c r="I48" i="3"/>
  <c r="A48" i="3"/>
  <c r="O47" i="3"/>
  <c r="N47" i="3"/>
  <c r="L47" i="3"/>
  <c r="K47" i="3"/>
  <c r="J47" i="3"/>
  <c r="I47" i="3"/>
  <c r="A47" i="3"/>
  <c r="O46" i="3"/>
  <c r="N46" i="3"/>
  <c r="L46" i="3"/>
  <c r="K46" i="3"/>
  <c r="J46" i="3"/>
  <c r="I46" i="3"/>
  <c r="A46" i="3"/>
  <c r="O45" i="3"/>
  <c r="N45" i="3"/>
  <c r="L45" i="3"/>
  <c r="K45" i="3"/>
  <c r="J45" i="3"/>
  <c r="I45" i="3"/>
  <c r="A45" i="3"/>
  <c r="O44" i="3"/>
  <c r="N44" i="3"/>
  <c r="L44" i="3"/>
  <c r="K44" i="3"/>
  <c r="J44" i="3"/>
  <c r="I44" i="3"/>
  <c r="A44" i="3"/>
  <c r="O43" i="3"/>
  <c r="N43" i="3"/>
  <c r="L43" i="3"/>
  <c r="K43" i="3"/>
  <c r="J43" i="3"/>
  <c r="I43" i="3"/>
  <c r="A43" i="3"/>
  <c r="O42" i="3"/>
  <c r="N42" i="3"/>
  <c r="L42" i="3"/>
  <c r="K42" i="3"/>
  <c r="J42" i="3"/>
  <c r="I42" i="3"/>
  <c r="A42" i="3"/>
  <c r="O41" i="3"/>
  <c r="N41" i="3"/>
  <c r="L41" i="3"/>
  <c r="K41" i="3"/>
  <c r="J41" i="3"/>
  <c r="I41" i="3"/>
  <c r="A41" i="3"/>
  <c r="O40" i="3"/>
  <c r="N40" i="3"/>
  <c r="L40" i="3"/>
  <c r="K40" i="3"/>
  <c r="J40" i="3"/>
  <c r="I40" i="3"/>
  <c r="A40" i="3"/>
  <c r="O39" i="3"/>
  <c r="N39" i="3"/>
  <c r="L39" i="3"/>
  <c r="K39" i="3"/>
  <c r="J39" i="3"/>
  <c r="I39" i="3"/>
  <c r="A39" i="3"/>
  <c r="O38" i="3"/>
  <c r="N38" i="3"/>
  <c r="L38" i="3"/>
  <c r="K38" i="3"/>
  <c r="J38" i="3"/>
  <c r="I38" i="3"/>
  <c r="A38" i="3"/>
  <c r="O37" i="3"/>
  <c r="N37" i="3"/>
  <c r="L37" i="3"/>
  <c r="K37" i="3"/>
  <c r="J37" i="3"/>
  <c r="I37" i="3"/>
  <c r="A37" i="3"/>
  <c r="O36" i="3"/>
  <c r="N36" i="3"/>
  <c r="L36" i="3"/>
  <c r="K36" i="3"/>
  <c r="J36" i="3"/>
  <c r="I36" i="3"/>
  <c r="A36" i="3"/>
  <c r="O35" i="3"/>
  <c r="N35" i="3"/>
  <c r="L35" i="3"/>
  <c r="K35" i="3"/>
  <c r="J35" i="3"/>
  <c r="I35" i="3"/>
  <c r="A35" i="3"/>
  <c r="O34" i="3"/>
  <c r="N34" i="3"/>
  <c r="L34" i="3"/>
  <c r="K34" i="3"/>
  <c r="J34" i="3"/>
  <c r="I34" i="3"/>
  <c r="A34" i="3"/>
  <c r="O33" i="3"/>
  <c r="N33" i="3"/>
  <c r="L33" i="3"/>
  <c r="K33" i="3"/>
  <c r="J33" i="3"/>
  <c r="I33" i="3"/>
  <c r="A33" i="3"/>
  <c r="O32" i="3"/>
  <c r="N32" i="3"/>
  <c r="L32" i="3"/>
  <c r="K32" i="3"/>
  <c r="J32" i="3"/>
  <c r="I32" i="3"/>
  <c r="A32" i="3"/>
  <c r="O31" i="3"/>
  <c r="N31" i="3"/>
  <c r="L31" i="3"/>
  <c r="K31" i="3"/>
  <c r="J31" i="3"/>
  <c r="I31" i="3"/>
  <c r="A31" i="3"/>
  <c r="O30" i="3"/>
  <c r="N30" i="3"/>
  <c r="L30" i="3"/>
  <c r="K30" i="3"/>
  <c r="J30" i="3"/>
  <c r="I30" i="3"/>
  <c r="A30" i="3"/>
  <c r="O29" i="3"/>
  <c r="N29" i="3"/>
  <c r="L29" i="3"/>
  <c r="K29" i="3"/>
  <c r="J29" i="3"/>
  <c r="I29" i="3"/>
  <c r="A29" i="3"/>
  <c r="O28" i="3"/>
  <c r="N28" i="3"/>
  <c r="L28" i="3"/>
  <c r="K28" i="3"/>
  <c r="J28" i="3"/>
  <c r="I28" i="3"/>
  <c r="A28" i="3"/>
  <c r="O27" i="3"/>
  <c r="N27" i="3"/>
  <c r="L27" i="3"/>
  <c r="K27" i="3"/>
  <c r="J27" i="3"/>
  <c r="I27" i="3"/>
  <c r="A27" i="3"/>
  <c r="O26" i="3"/>
  <c r="N26" i="3"/>
  <c r="L26" i="3"/>
  <c r="K26" i="3"/>
  <c r="J26" i="3"/>
  <c r="I26" i="3"/>
  <c r="A26" i="3"/>
  <c r="O25" i="3"/>
  <c r="N25" i="3"/>
  <c r="L25" i="3"/>
  <c r="K25" i="3"/>
  <c r="J25" i="3"/>
  <c r="I25" i="3"/>
  <c r="A25" i="3"/>
  <c r="O24" i="3"/>
  <c r="N24" i="3"/>
  <c r="L24" i="3"/>
  <c r="K24" i="3"/>
  <c r="J24" i="3"/>
  <c r="I24" i="3"/>
  <c r="A24" i="3"/>
  <c r="O23" i="3"/>
  <c r="N23" i="3"/>
  <c r="L23" i="3"/>
  <c r="K23" i="3"/>
  <c r="J23" i="3"/>
  <c r="I23" i="3"/>
  <c r="A23" i="3"/>
  <c r="O22" i="3"/>
  <c r="N22" i="3"/>
  <c r="L22" i="3"/>
  <c r="K22" i="3"/>
  <c r="J22" i="3"/>
  <c r="I22" i="3"/>
  <c r="A22" i="3"/>
  <c r="O21" i="3"/>
  <c r="N21" i="3"/>
  <c r="L21" i="3"/>
  <c r="K21" i="3"/>
  <c r="J21" i="3"/>
  <c r="I21" i="3"/>
  <c r="A21" i="3"/>
  <c r="O20" i="3"/>
  <c r="N20" i="3"/>
  <c r="L20" i="3"/>
  <c r="K20" i="3"/>
  <c r="J20" i="3"/>
  <c r="I20" i="3"/>
  <c r="A20" i="3"/>
  <c r="O19" i="3"/>
  <c r="N19" i="3"/>
  <c r="L19" i="3"/>
  <c r="K19" i="3"/>
  <c r="J19" i="3"/>
  <c r="I19" i="3"/>
  <c r="A19" i="3"/>
  <c r="O18" i="3"/>
  <c r="N18" i="3"/>
  <c r="L18" i="3"/>
  <c r="K18" i="3"/>
  <c r="J18" i="3"/>
  <c r="I18" i="3"/>
  <c r="A18" i="3"/>
  <c r="O17" i="3"/>
  <c r="N17" i="3"/>
  <c r="L17" i="3"/>
  <c r="K17" i="3"/>
  <c r="J17" i="3"/>
  <c r="I17" i="3"/>
  <c r="A17" i="3"/>
  <c r="O16" i="3"/>
  <c r="N16" i="3"/>
  <c r="L16" i="3"/>
  <c r="K16" i="3"/>
  <c r="J16" i="3"/>
  <c r="I16" i="3"/>
  <c r="A16" i="3"/>
  <c r="O15" i="3"/>
  <c r="N15" i="3"/>
  <c r="L15" i="3"/>
  <c r="K15" i="3"/>
  <c r="J15" i="3"/>
  <c r="I15" i="3"/>
  <c r="A15" i="3"/>
  <c r="O14" i="3"/>
  <c r="N14" i="3"/>
  <c r="L14" i="3"/>
  <c r="K14" i="3"/>
  <c r="J14" i="3"/>
  <c r="I14" i="3"/>
  <c r="A14" i="3"/>
  <c r="O13" i="3"/>
  <c r="N13" i="3"/>
  <c r="L13" i="3"/>
  <c r="K13" i="3"/>
  <c r="J13" i="3"/>
  <c r="I13" i="3"/>
  <c r="A13" i="3"/>
  <c r="O12" i="3"/>
  <c r="N12" i="3"/>
  <c r="L12" i="3"/>
  <c r="K12" i="3"/>
  <c r="J12" i="3"/>
  <c r="I12" i="3"/>
  <c r="A12" i="3"/>
  <c r="O11" i="3"/>
  <c r="N11" i="3"/>
  <c r="L11" i="3"/>
  <c r="K11" i="3"/>
  <c r="J11" i="3"/>
  <c r="I11" i="3"/>
  <c r="A11" i="3"/>
  <c r="O10" i="3"/>
  <c r="N10" i="3"/>
  <c r="L10" i="3"/>
  <c r="K10" i="3"/>
  <c r="J10" i="3"/>
  <c r="I10" i="3"/>
  <c r="A10" i="3"/>
  <c r="O9" i="3"/>
  <c r="N9" i="3"/>
  <c r="L9" i="3"/>
  <c r="K9" i="3"/>
  <c r="J9" i="3"/>
  <c r="I9" i="3"/>
  <c r="A9" i="3"/>
  <c r="O8" i="3"/>
  <c r="N8" i="3"/>
  <c r="L8" i="3"/>
  <c r="K8" i="3"/>
  <c r="J8" i="3"/>
  <c r="I8" i="3"/>
  <c r="A8" i="3"/>
  <c r="O7" i="3"/>
  <c r="N7" i="3"/>
  <c r="L7" i="3"/>
  <c r="K7" i="3"/>
  <c r="J7" i="3"/>
  <c r="I7" i="3"/>
  <c r="A7" i="3"/>
  <c r="O6" i="3"/>
  <c r="N6" i="3"/>
  <c r="L6" i="3"/>
  <c r="K6" i="3"/>
  <c r="J6" i="3"/>
  <c r="I6" i="3"/>
  <c r="A6" i="3"/>
  <c r="O5" i="3"/>
  <c r="N5" i="3"/>
  <c r="L5" i="3"/>
  <c r="K5" i="3"/>
  <c r="J5" i="3"/>
  <c r="I5" i="3"/>
  <c r="A5" i="3"/>
  <c r="O4" i="3"/>
  <c r="N4" i="3"/>
  <c r="L4" i="3"/>
  <c r="K4" i="3"/>
  <c r="J4" i="3"/>
  <c r="I4" i="3"/>
  <c r="A4" i="3"/>
  <c r="O3" i="3"/>
  <c r="N3" i="3"/>
  <c r="L3" i="3"/>
  <c r="K3" i="3"/>
  <c r="J3" i="3"/>
  <c r="I3" i="3"/>
  <c r="G7" i="1" s="1"/>
  <c r="A3" i="3"/>
  <c r="O2" i="3"/>
  <c r="N2" i="3"/>
  <c r="L2" i="3"/>
  <c r="K2" i="3"/>
  <c r="J2" i="3"/>
  <c r="I2" i="3"/>
  <c r="A2" i="3"/>
  <c r="F23" i="2"/>
  <c r="I23" i="2" s="1"/>
  <c r="J23" i="2" s="1"/>
  <c r="F22" i="2"/>
  <c r="I22" i="2" s="1"/>
  <c r="J22" i="2" s="1"/>
  <c r="F21" i="2"/>
  <c r="I21" i="2" s="1"/>
  <c r="J21" i="2" s="1"/>
  <c r="F20" i="2"/>
  <c r="I20" i="2" s="1"/>
  <c r="J20" i="2" s="1"/>
  <c r="F19" i="2"/>
  <c r="I19" i="2" s="1"/>
  <c r="J19" i="2" s="1"/>
  <c r="F18" i="2"/>
  <c r="I18" i="2" s="1"/>
  <c r="J18" i="2" s="1"/>
  <c r="F17" i="2"/>
  <c r="I17" i="2" s="1"/>
  <c r="J17" i="2" s="1"/>
  <c r="F16" i="2"/>
  <c r="I16" i="2" s="1"/>
  <c r="J16" i="2" s="1"/>
  <c r="F15" i="2"/>
  <c r="I15" i="2" s="1"/>
  <c r="J15" i="2" s="1"/>
  <c r="I14" i="2"/>
  <c r="J14" i="2" s="1"/>
  <c r="F14" i="2"/>
  <c r="E10" i="2"/>
  <c r="B8" i="2"/>
  <c r="B7" i="2"/>
  <c r="E7" i="2" s="1"/>
  <c r="B6" i="2"/>
  <c r="I30" i="1"/>
  <c r="J30" i="1" s="1"/>
  <c r="F30" i="1"/>
  <c r="H30" i="1" s="1"/>
  <c r="E30" i="1"/>
  <c r="I29" i="1"/>
  <c r="G29" i="1"/>
  <c r="I28" i="1"/>
  <c r="J28" i="1" s="1"/>
  <c r="G28" i="1"/>
  <c r="I27" i="1"/>
  <c r="G27" i="1"/>
  <c r="I26" i="1"/>
  <c r="J26" i="1" s="1"/>
  <c r="G26" i="1"/>
  <c r="I25" i="1"/>
  <c r="G25" i="1"/>
  <c r="I24" i="1"/>
  <c r="J24" i="1" s="1"/>
  <c r="J23" i="1"/>
  <c r="I23" i="1"/>
  <c r="I22" i="1"/>
  <c r="J22" i="1" s="1"/>
  <c r="I21" i="1"/>
  <c r="J21" i="1" s="1"/>
  <c r="I20" i="1"/>
  <c r="J20" i="1" s="1"/>
  <c r="C13" i="1"/>
  <c r="E31" i="1" s="1"/>
  <c r="F31" i="1" s="1"/>
  <c r="H7" i="1"/>
  <c r="E7" i="1"/>
  <c r="F7" i="1" s="1"/>
  <c r="C7" i="1"/>
  <c r="J29" i="1" l="1"/>
  <c r="Q18" i="6"/>
  <c r="T18" i="6" s="1"/>
  <c r="R21" i="6"/>
  <c r="F34" i="6" s="1"/>
  <c r="Q24" i="6"/>
  <c r="T24" i="6" s="1"/>
  <c r="O8" i="7"/>
  <c r="O14" i="7"/>
  <c r="Q28" i="6"/>
  <c r="T28" i="6" s="1"/>
  <c r="P11" i="7"/>
  <c r="P33" i="7"/>
  <c r="R22" i="6"/>
  <c r="X30" i="6" s="1"/>
  <c r="Y30" i="6" s="1"/>
  <c r="O18" i="7"/>
  <c r="O21" i="7"/>
  <c r="O24" i="7"/>
  <c r="J27" i="1"/>
  <c r="Q13" i="6"/>
  <c r="T13" i="6" s="1"/>
  <c r="R16" i="6"/>
  <c r="Q19" i="6"/>
  <c r="T19" i="6" s="1"/>
  <c r="O31" i="7"/>
  <c r="J25" i="1"/>
  <c r="Q10" i="6"/>
  <c r="W18" i="6" s="1"/>
  <c r="Q23" i="6"/>
  <c r="T23" i="6" s="1"/>
  <c r="R26" i="6"/>
  <c r="F24" i="2"/>
  <c r="O19" i="7"/>
  <c r="K19" i="2"/>
  <c r="B7" i="1"/>
  <c r="K15" i="2"/>
  <c r="X25" i="6"/>
  <c r="Y25" i="6" s="1"/>
  <c r="K16" i="2"/>
  <c r="X29" i="6"/>
  <c r="Y29" i="6" s="1"/>
  <c r="X10" i="6"/>
  <c r="Y10" i="6" s="1"/>
  <c r="X11" i="6"/>
  <c r="Y11" i="6" s="1"/>
  <c r="X17" i="6"/>
  <c r="Y17" i="6" s="1"/>
  <c r="K21" i="2"/>
  <c r="E6" i="2"/>
  <c r="E8" i="2" s="1"/>
  <c r="E9" i="2" s="1"/>
  <c r="J24" i="2"/>
  <c r="E29" i="1" s="1"/>
  <c r="F29" i="1" s="1"/>
  <c r="H29" i="1" s="1"/>
  <c r="J31" i="1"/>
  <c r="J32" i="1" s="1"/>
  <c r="K17" i="2"/>
  <c r="K22" i="2"/>
  <c r="R12" i="6"/>
  <c r="X18" i="6" s="1"/>
  <c r="Y18" i="6" s="1"/>
  <c r="W13" i="6"/>
  <c r="O34" i="7"/>
  <c r="Q21" i="6"/>
  <c r="X23" i="6"/>
  <c r="Y23" i="6" s="1"/>
  <c r="X28" i="6"/>
  <c r="Y28" i="6" s="1"/>
  <c r="C33" i="6"/>
  <c r="K20" i="2"/>
  <c r="W12" i="6"/>
  <c r="O7" i="7"/>
  <c r="O12" i="7"/>
  <c r="O17" i="7"/>
  <c r="O22" i="7"/>
  <c r="O27" i="7"/>
  <c r="O32" i="7"/>
  <c r="Q15" i="6"/>
  <c r="T15" i="6" s="1"/>
  <c r="Q20" i="6"/>
  <c r="T20" i="6" s="1"/>
  <c r="X22" i="6"/>
  <c r="Y22" i="6" s="1"/>
  <c r="Q25" i="6"/>
  <c r="T25" i="6" s="1"/>
  <c r="Q30" i="6"/>
  <c r="T30" i="6" s="1"/>
  <c r="K18" i="2"/>
  <c r="K23" i="2"/>
  <c r="W11" i="6"/>
  <c r="O5" i="7"/>
  <c r="O10" i="7"/>
  <c r="O15" i="7"/>
  <c r="O20" i="7"/>
  <c r="O25" i="7"/>
  <c r="O30" i="7"/>
  <c r="O35" i="7"/>
  <c r="X21" i="6"/>
  <c r="Y21" i="6" s="1"/>
  <c r="X26" i="6"/>
  <c r="Y26" i="6" s="1"/>
  <c r="Q29" i="6"/>
  <c r="T29" i="6" s="1"/>
  <c r="W10" i="6"/>
  <c r="K14" i="2"/>
  <c r="O36" i="7"/>
  <c r="X24" i="6"/>
  <c r="Y24" i="6" s="1"/>
  <c r="W20" i="6" l="1"/>
  <c r="W17" i="6"/>
  <c r="W15" i="6"/>
  <c r="X16" i="6"/>
  <c r="Y16" i="6" s="1"/>
  <c r="X12" i="6"/>
  <c r="Y12" i="6" s="1"/>
  <c r="F33" i="6"/>
  <c r="T10" i="6"/>
  <c r="X15" i="6"/>
  <c r="Y15" i="6" s="1"/>
  <c r="X27" i="6"/>
  <c r="Y27" i="6" s="1"/>
  <c r="W19" i="6"/>
  <c r="X14" i="6"/>
  <c r="Y14" i="6" s="1"/>
  <c r="W14" i="6"/>
  <c r="X20" i="6"/>
  <c r="Y20" i="6" s="1"/>
  <c r="K24" i="2"/>
  <c r="D33" i="6"/>
  <c r="E33" i="6" s="1"/>
  <c r="X13" i="6"/>
  <c r="Y13" i="6" s="1"/>
  <c r="X19" i="6"/>
  <c r="Y19" i="6" s="1"/>
  <c r="E22" i="1"/>
  <c r="F22" i="1" s="1"/>
  <c r="H22" i="1" s="1"/>
  <c r="E26" i="1"/>
  <c r="F26" i="1" s="1"/>
  <c r="H26" i="1" s="1"/>
  <c r="D34" i="6"/>
  <c r="E34" i="6" s="1"/>
  <c r="W29" i="6"/>
  <c r="W24" i="6"/>
  <c r="W30" i="6"/>
  <c r="W25" i="6"/>
  <c r="W26" i="6"/>
  <c r="W21" i="6"/>
  <c r="T21" i="6"/>
  <c r="W27" i="6"/>
  <c r="W22" i="6"/>
  <c r="W28" i="6"/>
  <c r="W23" i="6"/>
  <c r="E28" i="1"/>
  <c r="F28" i="1" s="1"/>
  <c r="H28" i="1" s="1"/>
  <c r="E24" i="1"/>
  <c r="F24" i="1" s="1"/>
  <c r="H24" i="1" s="1"/>
  <c r="E23" i="1"/>
  <c r="F23" i="1" s="1"/>
  <c r="H23" i="1" s="1"/>
  <c r="E21" i="1"/>
  <c r="F21" i="1" s="1"/>
  <c r="H21" i="1" s="1"/>
  <c r="E20" i="1"/>
  <c r="E25" i="1"/>
  <c r="F25" i="1" s="1"/>
  <c r="H25" i="1" s="1"/>
  <c r="E27" i="1"/>
  <c r="F27" i="1" s="1"/>
  <c r="H27" i="1" s="1"/>
  <c r="K29" i="1"/>
  <c r="L29" i="1" s="1"/>
  <c r="K24" i="1"/>
  <c r="K21" i="1"/>
  <c r="K30" i="1"/>
  <c r="L30" i="1" s="1"/>
  <c r="K26" i="1"/>
  <c r="L26" i="1" s="1"/>
  <c r="K27" i="1"/>
  <c r="K23" i="1"/>
  <c r="L23" i="1" s="1"/>
  <c r="K20" i="1"/>
  <c r="K25" i="1"/>
  <c r="L25" i="1" s="1"/>
  <c r="K22" i="1"/>
  <c r="L22" i="1" s="1"/>
  <c r="K31" i="1"/>
  <c r="L31" i="1" s="1"/>
  <c r="K28" i="1"/>
  <c r="D7" i="1"/>
  <c r="W16" i="6"/>
  <c r="L27" i="1" l="1"/>
  <c r="K32" i="1"/>
  <c r="L20" i="1"/>
  <c r="E32" i="1"/>
  <c r="F20" i="1"/>
  <c r="L24" i="1"/>
  <c r="L21" i="1"/>
  <c r="L28" i="1"/>
  <c r="H20" i="1" l="1"/>
  <c r="F3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RAB Kit</author>
  </authors>
  <commentList>
    <comment ref="C10" authorId="0" shapeId="0" xr:uid="{00000000-0006-0000-0000-000001000000}">
      <text>
        <r>
          <rPr>
            <sz val="10"/>
            <color rgb="FF000000"/>
            <rFont val="Aptos Narrow"/>
            <scheme val="minor"/>
          </rPr>
          <t>Source: research/insight_v1/securities_and_allocation.md s1 (book (ii)R): on 2 Jan 2028 Laura holds the ladder 65.9%, the facility floor 25.3% and the stock fund 8.7% of about $464k (MODEL). One point of the floor is kept as WInS cash.</t>
        </r>
      </text>
    </comment>
    <comment ref="E19" authorId="0" shapeId="0" xr:uid="{00000000-0006-0000-0000-000002000000}">
      <text>
        <r>
          <rPr>
            <sz val="10"/>
            <color rgb="FF000000"/>
            <rFont val="Aptos Narrow"/>
            <scheme val="minor"/>
          </rPr>
          <t>Ladder rungs split the 65.9% ladder share in proportion to their cost on the Book L tab. IBTM also carries the facility floor, because the floor and the first payment are both due on 1 Jan 2033.</t>
        </r>
      </text>
    </comment>
    <comment ref="G19" authorId="0" shapeId="0" xr:uid="{00000000-0006-0000-0000-000003000000}">
      <text>
        <r>
          <rPr>
            <sz val="10"/>
            <color rgb="FF000000"/>
            <rFont val="Aptos Narrow"/>
            <scheme val="minor"/>
          </rPr>
          <t>ETFs: live Google Finance price. Bonds: WInS clean price plus accrued interest per $100 face, from the Book L tab (read in WInS 29 Sep 2026; bond prices update once a day). Always check the WInS order screen before sizing an order.</t>
        </r>
      </text>
    </comment>
    <comment ref="H19" authorId="0" shapeId="0" xr:uid="{00000000-0006-0000-0000-000004000000}">
      <text>
        <r>
          <rPr>
            <sz val="10"/>
            <color rgb="FF000000"/>
            <rFont val="Aptos Narrow"/>
            <scheme val="minor"/>
          </rPr>
          <t>Rounded down: whole shares for ETFs, $1,000 of face value for bonds. Bond quantities in WInS are face value in dollars.</t>
        </r>
      </text>
    </comment>
    <comment ref="B20" authorId="0" shapeId="0" xr:uid="{00000000-0006-0000-0000-000005000000}">
      <text>
        <r>
          <rPr>
            <sz val="10"/>
            <color rgb="FF000000"/>
            <rFont val="Aptos Narrow"/>
            <scheme val="minor"/>
          </rPr>
          <t>iShares iBonds Dec 2032 Term Treasury ETF. Holds everything due on 1 Jan 2033: the first $50,000 payment and the facility floor. The fund does not promise a fixed payout; never write that it repays a set amount.</t>
        </r>
      </text>
    </comment>
    <comment ref="G20" authorId="1" shapeId="0" xr:uid="{00000000-0006-0000-0000-000006000000}">
      <text>
        <r>
          <rPr>
            <sz val="10"/>
            <color rgb="FF000000"/>
            <rFont val="Aptos Narrow"/>
            <scheme val="minor"/>
          </rPr>
          <t>In Google Sheets this was a live GOOGLEFINANCE price. Excel has no equivalent, so this is the last price Google returned. Type the latest price here (or use refresh_tickets.py).</t>
        </r>
      </text>
    </comment>
    <comment ref="G21" authorId="1" shapeId="0" xr:uid="{00000000-0006-0000-0000-000007000000}">
      <text>
        <r>
          <rPr>
            <sz val="10"/>
            <color rgb="FF000000"/>
            <rFont val="Aptos Narrow"/>
            <scheme val="minor"/>
          </rPr>
          <t>In Google Sheets this was a live GOOGLEFINANCE price. Excel has no equivalent, so this is the last price Google returned. Type the latest price here (or use refresh_tickets.py).</t>
        </r>
      </text>
    </comment>
    <comment ref="G22" authorId="1" shapeId="0" xr:uid="{00000000-0006-0000-0000-000008000000}">
      <text>
        <r>
          <rPr>
            <sz val="10"/>
            <color rgb="FF000000"/>
            <rFont val="Aptos Narrow"/>
            <scheme val="minor"/>
          </rPr>
          <t>In Google Sheets this was a live GOOGLEFINANCE price. Excel has no equivalent, so this is the last price Google returned. Type the latest price here (or use refresh_tickets.py).</t>
        </r>
      </text>
    </comment>
    <comment ref="G23" authorId="1" shapeId="0" xr:uid="{00000000-0006-0000-0000-000009000000}">
      <text>
        <r>
          <rPr>
            <sz val="10"/>
            <color rgb="FF000000"/>
            <rFont val="Aptos Narrow"/>
            <scheme val="minor"/>
          </rPr>
          <t>In Google Sheets this was a live GOOGLEFINANCE price. Excel has no equivalent, so this is the last price Google returned. Type the latest price here (or use refresh_tickets.py).</t>
        </r>
      </text>
    </comment>
    <comment ref="G24" authorId="1" shapeId="0" xr:uid="{00000000-0006-0000-0000-00000A000000}">
      <text>
        <r>
          <rPr>
            <sz val="10"/>
            <color rgb="FF000000"/>
            <rFont val="Aptos Narrow"/>
            <scheme val="minor"/>
          </rPr>
          <t>In Google Sheets this was a live GOOGLEFINANCE price. Excel has no equivalent, so this is the last price Google returned. Type the latest price here (or use refresh_tickets.py).</t>
        </r>
      </text>
    </comment>
    <comment ref="B30" authorId="0" shapeId="0" xr:uid="{00000000-0006-0000-0000-00000B000000}">
      <text>
        <r>
          <rPr>
            <sz val="10"/>
            <color rgb="FF000000"/>
            <rFont val="Aptos Narrow"/>
            <scheme val="minor"/>
          </rPr>
          <t>Vanguard Total World Stock ETF, about 10,000 companies. Bought with the 2028 deposit in Laura's plan; untouched until 2033.</t>
        </r>
      </text>
    </comment>
    <comment ref="G30" authorId="1" shapeId="0" xr:uid="{00000000-0006-0000-0000-00000C000000}">
      <text>
        <r>
          <rPr>
            <sz val="10"/>
            <color rgb="FF000000"/>
            <rFont val="Aptos Narrow"/>
            <scheme val="minor"/>
          </rPr>
          <t>In Google Sheets this was a live GOOGLEFINANCE price. Excel has no equivalent, so this is the last price Google returned. Type the latest price here (or use refresh_tickets.py).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RAB Kit</author>
  </authors>
  <commentList>
    <comment ref="E13" authorId="0" shapeId="0" xr:uid="{00000000-0006-0000-0100-000001000000}">
      <text>
        <r>
          <rPr>
            <sz val="10"/>
            <color rgb="FF000000"/>
            <rFont val="Aptos Narrow"/>
            <scheme val="minor"/>
          </rPr>
          <t>Source: Treasury Daily Par Yield Curve 28 Sep 2026 (home.treasury.gov), bootstrapped with the D1 method in research/insight_v1/scripts/D1_purchase_rule.py. Present value today of $1 at the date in column D. Repo: research/insight_v1/verification/ladder_2026-09-28/.</t>
        </r>
      </text>
    </comment>
    <comment ref="G13" authorId="0" shapeId="0" xr:uid="{00000000-0006-0000-0100-000002000000}">
      <text>
        <r>
          <rPr>
            <sz val="10"/>
            <color rgb="FF000000"/>
            <rFont val="Aptos Narrow"/>
            <scheme val="minor"/>
          </rPr>
          <t>ETFs: live Google Finance price. Bonds: WInS clean price per $100 face and accrued interest from the WInS Bonds page, read 29 Sep 2026 (as of 12:18 am ET). WInS bond prices update once a day; re-read and yield-check before ordering.</t>
        </r>
      </text>
    </comment>
    <comment ref="I13" authorId="0" shapeId="0" xr:uid="{00000000-0006-0000-0100-000003000000}">
      <text>
        <r>
          <rPr>
            <sz val="10"/>
            <color rgb="FF000000"/>
            <rFont val="Aptos Narrow"/>
            <scheme val="minor"/>
          </rPr>
          <t>iBonds funds do not promise a fixed payout, and the bonds need their coupons reinvested to reach $50,000. Notes should say the holding is sized to fund the payment, never that it repays $50,000.</t>
        </r>
      </text>
    </comment>
    <comment ref="G14" authorId="1" shapeId="0" xr:uid="{00000000-0006-0000-0100-000004000000}">
      <text>
        <r>
          <rPr>
            <sz val="10"/>
            <color rgb="FF000000"/>
            <rFont val="Aptos Narrow"/>
            <scheme val="minor"/>
          </rPr>
          <t>In Google Sheets this was a live GOOGLEFINANCE price. Excel has no equivalent, so this is the last price Google returned. Type the latest price here (or use refresh_tickets.py).</t>
        </r>
      </text>
    </comment>
    <comment ref="G15" authorId="1" shapeId="0" xr:uid="{00000000-0006-0000-0100-000005000000}">
      <text>
        <r>
          <rPr>
            <sz val="10"/>
            <color rgb="FF000000"/>
            <rFont val="Aptos Narrow"/>
            <scheme val="minor"/>
          </rPr>
          <t>In Google Sheets this was a live GOOGLEFINANCE price. Excel has no equivalent, so this is the last price Google returned. Type the latest price here (or use refresh_tickets.py).</t>
        </r>
      </text>
    </comment>
    <comment ref="G16" authorId="1" shapeId="0" xr:uid="{00000000-0006-0000-0100-000006000000}">
      <text>
        <r>
          <rPr>
            <sz val="10"/>
            <color rgb="FF000000"/>
            <rFont val="Aptos Narrow"/>
            <scheme val="minor"/>
          </rPr>
          <t>In Google Sheets this was a live GOOGLEFINANCE price. Excel has no equivalent, so this is the last price Google returned. Type the latest price here (or use refresh_tickets.py).</t>
        </r>
      </text>
    </comment>
    <comment ref="G17" authorId="1" shapeId="0" xr:uid="{00000000-0006-0000-0100-000007000000}">
      <text>
        <r>
          <rPr>
            <sz val="10"/>
            <color rgb="FF000000"/>
            <rFont val="Aptos Narrow"/>
            <scheme val="minor"/>
          </rPr>
          <t>In Google Sheets this was a live GOOGLEFINANCE price. Excel has no equivalent, so this is the last price Google returned. Type the latest price here (or use refresh_tickets.py).</t>
        </r>
      </text>
    </comment>
    <comment ref="G18" authorId="1" shapeId="0" xr:uid="{00000000-0006-0000-0100-000008000000}">
      <text>
        <r>
          <rPr>
            <sz val="10"/>
            <color rgb="FF000000"/>
            <rFont val="Aptos Narrow"/>
            <scheme val="minor"/>
          </rPr>
          <t>In Google Sheets this was a live GOOGLEFINANCE price. Excel has no equivalent, so this is the last price Google returned. Type the latest price here (or use refresh_tickets.py).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F1" authorId="0" shapeId="0" xr:uid="{00000000-0006-0000-0200-000001000000}">
      <text>
        <r>
          <rPr>
            <sz val="10"/>
            <color rgb="FF000000"/>
            <rFont val="Aptos Narrow"/>
            <scheme val="minor"/>
          </rPr>
          <t>Shares for ETFs and stocks. For Treasury bonds, enter the face value in dollars (for example 75000).</t>
        </r>
      </text>
    </comment>
    <comment ref="M1" authorId="0" shapeId="0" xr:uid="{00000000-0006-0000-0200-000002000000}">
      <text>
        <r>
          <rPr>
            <sz val="10"/>
            <color rgb="FF000000"/>
            <rFont val="Aptos Narrow"/>
            <scheme val="minor"/>
          </rPr>
          <t>Copy the note exactly as it was entered in WInS. Notes cannot be edited after the trade, and Wharton verifies the three you submit.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A21" authorId="0" shapeId="0" xr:uid="{00000000-0006-0000-0400-000001000000}">
      <text>
        <r>
          <rPr>
            <sz val="10"/>
            <color rgb="FF000000"/>
            <rFont val="Aptos Narrow"/>
            <scheme val="minor"/>
          </rPr>
          <t>Source: WInS quote pages (app.stocktrak.com/quotes), logged in as Caplet-10465936, read 29 Sep 2026. Delayed prices as displayed.</t>
        </r>
      </text>
    </comment>
  </commentList>
</comments>
</file>

<file path=xl/sharedStrings.xml><?xml version="1.0" encoding="utf-8"?>
<sst xmlns="http://schemas.openxmlformats.org/spreadsheetml/2006/main" count="954" uniqueCount="488">
  <si>
    <t>Team Caplet WInS portfolio</t>
  </si>
  <si>
    <t>Laura's plan on 2 Jan 2028, after both deposits, scaled to WInS's $300,000 starting cash. Provisional until the team votes on 1 Oct 2026.</t>
  </si>
  <si>
    <t>Blue = input you can change. Green = pulled from another tab. Black = formula. Units held and cash update from the Trade Log tab.</t>
  </si>
  <si>
    <t>Key numbers</t>
  </si>
  <si>
    <t>Portfolio value</t>
  </si>
  <si>
    <t>Cash</t>
  </si>
  <si>
    <t>Return since start</t>
  </si>
  <si>
    <t>Trades used</t>
  </si>
  <si>
    <t>Trades left</t>
  </si>
  <si>
    <t>Commissions paid</t>
  </si>
  <si>
    <t>Trades outside the plan</t>
  </si>
  <si>
    <t>Plan split</t>
  </si>
  <si>
    <t>WInS rules</t>
  </si>
  <si>
    <t>Payment ladder</t>
  </si>
  <si>
    <t>Share of Laura's money on 2 Jan 2028</t>
  </si>
  <si>
    <t>Starting cash ($)</t>
  </si>
  <si>
    <t>Session Rules</t>
  </si>
  <si>
    <t>Facility floor</t>
  </si>
  <si>
    <t>25.3% in the plan; 1 point kept as WInS cash</t>
  </si>
  <si>
    <t>Commission, stock or ETF ($)</t>
  </si>
  <si>
    <t>Stock fund</t>
  </si>
  <si>
    <t>Commission, Treasury bond ($)</t>
  </si>
  <si>
    <t>For commissions and rounding</t>
  </si>
  <si>
    <t>Trade cap</t>
  </si>
  <si>
    <t>Position limit per security</t>
  </si>
  <si>
    <t>200% stocks/ETFs; 100% bonds</t>
  </si>
  <si>
    <t>Trade note limit (characters)</t>
  </si>
  <si>
    <t>WInS note box</t>
  </si>
  <si>
    <t>WInS username</t>
  </si>
  <si>
    <t>Caplet-10465936</t>
  </si>
  <si>
    <t>Must match roster and IPS</t>
  </si>
  <si>
    <t>Holdings</t>
  </si>
  <si>
    <t>Holding</t>
  </si>
  <si>
    <t>Job</t>
  </si>
  <si>
    <t>Type</t>
  </si>
  <si>
    <t>Target weight</t>
  </si>
  <si>
    <t>Target ($)</t>
  </si>
  <si>
    <t>Price</t>
  </si>
  <si>
    <t>Target units</t>
  </si>
  <si>
    <t>Units held</t>
  </si>
  <si>
    <t>Market value ($)</t>
  </si>
  <si>
    <t>Actual weight</t>
  </si>
  <si>
    <t>Drift vs target</t>
  </si>
  <si>
    <t>Status</t>
  </si>
  <si>
    <t>IBTM</t>
  </si>
  <si>
    <t>Jan 2033 payment + facility floor</t>
  </si>
  <si>
    <t>ETF</t>
  </si>
  <si>
    <t>Listed in WInS; vote pending</t>
  </si>
  <si>
    <t>IBTO</t>
  </si>
  <si>
    <t>Jan 2034 payment</t>
  </si>
  <si>
    <t>IBTP</t>
  </si>
  <si>
    <t>Jan 2035 payment</t>
  </si>
  <si>
    <t>IBTQ</t>
  </si>
  <si>
    <t>Jan 2036 payment</t>
  </si>
  <si>
    <t>IBTR</t>
  </si>
  <si>
    <t>Jan 2037 payment</t>
  </si>
  <si>
    <t>T 4.750% 15-Feb-2037</t>
  </si>
  <si>
    <t>Jan 2038 payment</t>
  </si>
  <si>
    <t>Treasury bond</t>
  </si>
  <si>
    <t>Price checked (-8bp); vote pending</t>
  </si>
  <si>
    <t>T 4.500% 15-May-2038</t>
  </si>
  <si>
    <t>Jan 2039 payment</t>
  </si>
  <si>
    <t>Price checked (+6bp); vote pending</t>
  </si>
  <si>
    <t>T 4.375% 15-Nov-2039</t>
  </si>
  <si>
    <t>Jan 2040 payment</t>
  </si>
  <si>
    <t>Price checked (+13bp); vote pending</t>
  </si>
  <si>
    <t>T 4.250% 15-Nov-2040</t>
  </si>
  <si>
    <t>Jan 2041 payment</t>
  </si>
  <si>
    <t>Price checked (+14bp); vote pending</t>
  </si>
  <si>
    <t>T 3.125% 15-Nov-2041</t>
  </si>
  <si>
    <t>Jan 2042 payment</t>
  </si>
  <si>
    <t>Price checked (+15bp); vote pending</t>
  </si>
  <si>
    <t>VT</t>
  </si>
  <si>
    <t>Growth: world stock fund</t>
  </si>
  <si>
    <t>Commissions and rounding</t>
  </si>
  <si>
    <t>Keep at least $1,000</t>
  </si>
  <si>
    <t>Total</t>
  </si>
  <si>
    <t>Book L: Laura's first deposit as a literal ladder</t>
  </si>
  <si>
    <t>Alternative WInS book for the D3 vote. WInS's $300,000 = Laura's 1 Jan 2027 deposit, dollar for dollar: one holding for each $50,000 payment. The stock fund is absent because it is bought with the 2028 deposit, which WInS never receives. Provisional; nothing traded.</t>
  </si>
  <si>
    <t>Blue text = input. Green = link to the Portfolio tab. Black = formula. Each holding is sized to be worth $50,000 on its payment date with interest reinvested.</t>
  </si>
  <si>
    <t>Inputs</t>
  </si>
  <si>
    <t>Summary</t>
  </si>
  <si>
    <t>Ladder cost ($)</t>
  </si>
  <si>
    <t>Commission per ETF trade ($)</t>
  </si>
  <si>
    <t>Commissions ($)</t>
  </si>
  <si>
    <t>Commission per bond trade ($)</t>
  </si>
  <si>
    <t>Cash left ($)</t>
  </si>
  <si>
    <t>Payment per year ($)</t>
  </si>
  <si>
    <t>Cash left (% of starting cash)</t>
  </si>
  <si>
    <t>Trades needed</t>
  </si>
  <si>
    <t>Pays Laura on 1 Jan</t>
  </si>
  <si>
    <t>Ends or matures</t>
  </si>
  <si>
    <t>Discount factor (28 Sep curve)</t>
  </si>
  <si>
    <t>Target value today ($)</t>
  </si>
  <si>
    <t>Price (ETF per share; bond clean per $100)</t>
  </si>
  <si>
    <t>Accrued interest per $100 face</t>
  </si>
  <si>
    <t>Size (shares, or face $ for bonds)</t>
  </si>
  <si>
    <t>Cost ($)</t>
  </si>
  <si>
    <t>Weight</t>
  </si>
  <si>
    <t>Note</t>
  </si>
  <si>
    <t>2033</t>
  </si>
  <si>
    <t>15 Dec 2032</t>
  </si>
  <si>
    <t>iShares iBonds Dec 2032 Term Treasury ETF. Also the building-minimum fund in the current plan</t>
  </si>
  <si>
    <t>2034</t>
  </si>
  <si>
    <t>15 Dec 2033</t>
  </si>
  <si>
    <t>iBonds Dec 2033. Not IBTN, which is an unrelated company in WInS</t>
  </si>
  <si>
    <t>2035</t>
  </si>
  <si>
    <t>15 Dec 2034</t>
  </si>
  <si>
    <t>iBonds Dec 2034</t>
  </si>
  <si>
    <t>2036</t>
  </si>
  <si>
    <t>15 Dec 2035</t>
  </si>
  <si>
    <t>iBonds Dec 2035</t>
  </si>
  <si>
    <t>2037</t>
  </si>
  <si>
    <t>15 Dec 2036</t>
  </si>
  <si>
    <t>iBonds Dec 2036</t>
  </si>
  <si>
    <t>2038</t>
  </si>
  <si>
    <t>15 Feb 2037</t>
  </si>
  <si>
    <t>WInS price checked against the curve (-8bp). Coupons reinvested</t>
  </si>
  <si>
    <t>2039</t>
  </si>
  <si>
    <t>15 May 2038</t>
  </si>
  <si>
    <t>Used instead of the 4.375% Feb 2038, whose WInS price is stale (about 85bp off)</t>
  </si>
  <si>
    <t>2040</t>
  </si>
  <si>
    <t>15 Nov 2039</t>
  </si>
  <si>
    <t>WInS price checked against the curve (+13bp)</t>
  </si>
  <si>
    <t>2041</t>
  </si>
  <si>
    <t>15 Nov 2040</t>
  </si>
  <si>
    <t>WInS price checked against the curve (+14bp)</t>
  </si>
  <si>
    <t>2042</t>
  </si>
  <si>
    <t>15 Nov 2041</t>
  </si>
  <si>
    <t>WInS price checked against the curve (+15bp)</t>
  </si>
  <si>
    <t>Trade #</t>
  </si>
  <si>
    <t>Date (US Eastern)</t>
  </si>
  <si>
    <t>Ticker</t>
  </si>
  <si>
    <t>Buy or sell</t>
  </si>
  <si>
    <t>Quantity (shares, or face value $ for bonds)</t>
  </si>
  <si>
    <t>Fill price (per share, or per $100 face)</t>
  </si>
  <si>
    <t>Accrued interest paid ($, bonds only)</t>
  </si>
  <si>
    <t>Commission ($)</t>
  </si>
  <si>
    <t>Gross amount ($)</t>
  </si>
  <si>
    <t>Cash impact ($)</t>
  </si>
  <si>
    <t>Trade note (copied exactly from WInS)</t>
  </si>
  <si>
    <t>Note length (characters)</t>
  </si>
  <si>
    <t>Within note limit</t>
  </si>
  <si>
    <t>Entered by</t>
  </si>
  <si>
    <t>Screenshot saved</t>
  </si>
  <si>
    <t>Trading Notes Analysis: three picks</t>
  </si>
  <si>
    <t>Due Fri 23 Oct 2026, 5 pm ET (Sat 24 Oct, 8 am AEDT). Pick 3 real WInS trades. Notes must match WInS exactly; Wharton checks them. Reflections: up to 100 words each, written by the team.</t>
  </si>
  <si>
    <t>Pick</t>
  </si>
  <si>
    <t>Date</t>
  </si>
  <si>
    <t>Trade note (from Trade Log)</t>
  </si>
  <si>
    <t>Reflection (max 100 words)</t>
  </si>
  <si>
    <t>Word count</t>
  </si>
  <si>
    <t>Within 100 words</t>
  </si>
  <si>
    <t>Says why</t>
  </si>
  <si>
    <t>Fits the strategy</t>
  </si>
  <si>
    <t>Links to Laura's goals, funding or risk</t>
  </si>
  <si>
    <t>Owner</t>
  </si>
  <si>
    <t>What WInS shows (read 29 Sep 2026, no orders placed)</t>
  </si>
  <si>
    <t>Read from the logged-in WInS account Caplet-10465936. Prices are 28 Sep 2026 closes as WInS displayed them (15-minute delayed data).</t>
  </si>
  <si>
    <t>Topic</t>
  </si>
  <si>
    <t>Finding</t>
  </si>
  <si>
    <t>Where seen</t>
  </si>
  <si>
    <t>What it means for us</t>
  </si>
  <si>
    <t>Trading window</t>
  </si>
  <si>
    <t>Trading started 28 Sep 2026 9:30 am ET and ends 6 Nov 2026 4:00 pm ET (39 days left on 29 Sep)</t>
  </si>
  <si>
    <t>Matches the IPS deadline; the book is frozen on 6 Nov</t>
  </si>
  <si>
    <t>Starting cash</t>
  </si>
  <si>
    <t>$300,000; no weekly deposits; 0% interest on cash</t>
  </si>
  <si>
    <t>Idle cash earns nothing, so keep cash near 1%</t>
  </si>
  <si>
    <t>Trades</t>
  </si>
  <si>
    <t>200 allowed; 0 used. Open and cancelled orders do not count</t>
  </si>
  <si>
    <t>Session Rules; Portfolio FAQ</t>
  </si>
  <si>
    <t>The planned book needs about 4 to 5 trades</t>
  </si>
  <si>
    <t>Day trading, margin, short selling</t>
  </si>
  <si>
    <t>Not allowed</t>
  </si>
  <si>
    <t>No change</t>
  </si>
  <si>
    <t>Security types</t>
  </si>
  <si>
    <t>Stocks and ETFs on many exchanges; bonds limited to US Treasury bonds</t>
  </si>
  <si>
    <t>The bond page also lists UK, German, French and Dutch exchanges, but the rules allow US Treasuries only</t>
  </si>
  <si>
    <t>Minimum buy price</t>
  </si>
  <si>
    <t>The official Wharton guide says $5; all our ETFs are well above both</t>
  </si>
  <si>
    <t>Fractional shares</t>
  </si>
  <si>
    <t>Round share counts down</t>
  </si>
  <si>
    <t>Commission</t>
  </si>
  <si>
    <t>$25 per stock or ETF trade; $10 per bond trade</t>
  </si>
  <si>
    <t>Matches the Portfolio tab</t>
  </si>
  <si>
    <t>Position limit</t>
  </si>
  <si>
    <t>Stocks and ETFs: 200% per position and per security. Bonds: 100% per security and for all bonds</t>
  </si>
  <si>
    <t>No position-limit branch applies; the recommended book can be bought as planned</t>
  </si>
  <si>
    <t>Volume rule</t>
  </si>
  <si>
    <t>Orders can take at most half of a security's market volume; larger orders wait</t>
  </si>
  <si>
    <t>Portfolio FAQ</t>
  </si>
  <si>
    <t>Our largest order (TLH, about 1,375 shares) is far below half of 4.45m</t>
  </si>
  <si>
    <t>Fills</t>
  </si>
  <si>
    <t>US orders fill at real-time bid/ask; orders placed while the market is closed fill at the next open. Bonds fill at end-of-day prices</t>
  </si>
  <si>
    <t>Portfolio FAQ; trading page</t>
  </si>
  <si>
    <t>Place orders during US hours if you want a known price</t>
  </si>
  <si>
    <t>Trade note box</t>
  </si>
  <si>
    <t>300-character maximum (maxlength on the note box)</t>
  </si>
  <si>
    <t>Trade Notes page</t>
  </si>
  <si>
    <t>Wharton's 413-character example would not fit. Draft notes to 300 characters or less</t>
  </si>
  <si>
    <t>Adding notes</t>
  </si>
  <si>
    <t>Notes are added in Preview Order and can also be added or viewed from Order History or Transaction History (Add/View Notes)</t>
  </si>
  <si>
    <t>Portfolio FAQ; Trade Notes page</t>
  </si>
  <si>
    <t>Whether a saved note can be edited later is not confirmed. Treat the first note as final</t>
  </si>
  <si>
    <t>2032 Treasury</t>
  </si>
  <si>
    <t>Not listed. The WInS bond list has 43 US Treasuries; none mature between 15 Feb 2031 and 15 Feb 2036</t>
  </si>
  <si>
    <t>Bonds page drop-down</t>
  </si>
  <si>
    <t>Use IBTM for the building minimum (research choice 2)</t>
  </si>
  <si>
    <t>Week 1 email</t>
  </si>
  <si>
    <t>Posted on the dashboard (26-27 Week-One-Email.pdf); opens as a download, not read here</t>
  </si>
  <si>
    <t>Dashboard</t>
  </si>
  <si>
    <t>Someone on the team should read it</t>
  </si>
  <si>
    <t>Market context</t>
  </si>
  <si>
    <t>WInS news on 28 Sep: 10-year Treasury yield above 5.25%</t>
  </si>
  <si>
    <t>IEF quote page news</t>
  </si>
  <si>
    <t>Higher yields make the Treasury ladder cheaper than the 25 Sep model price. Rerun the ladder cost before the IPS</t>
  </si>
  <si>
    <t>Name as shown in WInS</t>
  </si>
  <si>
    <t>Last close 28 Sep 2026</t>
  </si>
  <si>
    <t>Volume 28 Sep 2026</t>
  </si>
  <si>
    <t>IEF</t>
  </si>
  <si>
    <t>iShares 7-10 Year Treasury Bond ETF</t>
  </si>
  <si>
    <t>TLH</t>
  </si>
  <si>
    <t>iShares 10-20 Year Treasury Bond ETF</t>
  </si>
  <si>
    <t>iShares iBonds Dec 2032 Term Treasury ETF</t>
  </si>
  <si>
    <t>Vanguard Total World Stock ETF</t>
  </si>
  <si>
    <t>VGIT</t>
  </si>
  <si>
    <t>Vanguard Intermediate-Term Treasury ETF</t>
  </si>
  <si>
    <t>SPTI</t>
  </si>
  <si>
    <t>State Street SPDR Portfolio Intermediate Term Treasury ETF</t>
  </si>
  <si>
    <t>VTI</t>
  </si>
  <si>
    <t>Vanguard Morningstar Total Stock Market ETF</t>
  </si>
  <si>
    <t>VXUS</t>
  </si>
  <si>
    <t>Vanguard Total International Stock ETF</t>
  </si>
  <si>
    <t>TLT</t>
  </si>
  <si>
    <t>iShares 20+ Year Treasury Bond ETF</t>
  </si>
  <si>
    <t>SPTL</t>
  </si>
  <si>
    <t>State Street SPDR Portfolio Long Term Treasury ETF</t>
  </si>
  <si>
    <t>SGOV</t>
  </si>
  <si>
    <t>iShares 0-3 Month Treasury Bond ETF</t>
  </si>
  <si>
    <t>RAB Tickets: Friday 2 Oct 2026 WInS orders (both books; the team's 1 Oct vote picks one)</t>
  </si>
  <si>
    <t>AI-generated by Claude Code (RAB Kit WS6) from rab/trades/tickets.csv. Nothing here places an order: students check and enter every order. Basis: 28 Sep 2026 closes; WInS bond prices from tab Book L. Friday: re-run refresh_tickets.py --basis friday and type the new prices into column K.</t>
  </si>
  <si>
    <t>Inputs (official rules / WInS Notes)</t>
  </si>
  <si>
    <t>Value</t>
  </si>
  <si>
    <t>Starting WInS cash ($)</t>
  </si>
  <si>
    <t>Commission per stock or ETF trade ($)</t>
  </si>
  <si>
    <t>Commission per Treasury trade ($)</t>
  </si>
  <si>
    <t>Never let cash fall below ($, kit stop rule 4)</t>
  </si>
  <si>
    <t>Max trades allowed in the competition</t>
  </si>
  <si>
    <t>Book</t>
  </si>
  <si>
    <t>Order</t>
  </si>
  <si>
    <t>Ticker or bond</t>
  </si>
  <si>
    <t>Exact WInS name to look for</t>
  </si>
  <si>
    <t>Name status</t>
  </si>
  <si>
    <t>CUSIP</t>
  </si>
  <si>
    <t>Serves (Laura's plan)</t>
  </si>
  <si>
    <t>Quantity</t>
  </si>
  <si>
    <t>Quantity unit</t>
  </si>
  <si>
    <t>Reference price</t>
  </si>
  <si>
    <t>Price as of</t>
  </si>
  <si>
    <t>Price source</t>
  </si>
  <si>
    <t>Accrued interest per $100 (bonds)</t>
  </si>
  <si>
    <t>Max price (do not pay above)</t>
  </si>
  <si>
    <t>Expected cost incl. commission ($)</t>
  </si>
  <si>
    <t>Worst-case cost at max price ($)</t>
  </si>
  <si>
    <t>Kit Preview total ($, tickets.csv)</t>
  </si>
  <si>
    <t>Check: formula minus kit ($)</t>
  </si>
  <si>
    <t>Stop if Preview below ($)</t>
  </si>
  <si>
    <t>Stop if Preview above ($)</t>
  </si>
  <si>
    <t>Cash after: expected ($)</t>
  </si>
  <si>
    <t>Cash after: worst case ($)</t>
  </si>
  <si>
    <t>Cash check</t>
  </si>
  <si>
    <t>30-day avg daily volume</t>
  </si>
  <si>
    <t>Order size vs 2x daily volume</t>
  </si>
  <si>
    <t>Trap to avoid</t>
  </si>
  <si>
    <t>Alternate</t>
  </si>
  <si>
    <t>Why this order</t>
  </si>
  <si>
    <t>Worst-case accrued per $100 (bonds, if the fill slips to Mon 5 Oct)</t>
  </si>
  <si>
    <t>Portfolio</t>
  </si>
  <si>
    <t>iShares iBonds Dec 2036 Term Treasury ETF</t>
  </si>
  <si>
    <t>UNVERIFIED (issuer name)</t>
  </si>
  <si>
    <t>shares</t>
  </si>
  <si>
    <t>2026-09-28</t>
  </si>
  <si>
    <t>iShares closing price 28 Sep (Nasdaq 23.485)</t>
  </si>
  <si>
    <t>Thinnest fund (about 1.6m shares outstanding). Check the name says Dec 2036.</t>
  </si>
  <si>
    <t>IBTQ (ends a year early, the money waits); the 4.5% Feb-2036 bond only if its WInS price passes the yield check (stale on 29 Sep)</t>
  </si>
  <si>
    <t>iBonds first (live prices, so cash is known at once); a small first order to learn the screen</t>
  </si>
  <si>
    <t>iShares iBonds Dec 2035 Term Treasury ETF</t>
  </si>
  <si>
    <t>iShares closing price 28 Sep (Nasdaq 23.6951)</t>
  </si>
  <si>
    <t>Check the name says Dec 2035.</t>
  </si>
  <si>
    <t>IBTP (ends a year early)</t>
  </si>
  <si>
    <t>iShares iBonds Dec 2034 Term Treasury ETF</t>
  </si>
  <si>
    <t>iShares closing price 28 Sep (Nasdaq 24.1006)</t>
  </si>
  <si>
    <t>Check the name says Dec 2034.</t>
  </si>
  <si>
    <t>IBTO (ends a year early)</t>
  </si>
  <si>
    <t>iShares iBonds Dec 2033 Term Treasury ETF</t>
  </si>
  <si>
    <t>iShares closing price 28 Sep (= Nasdaq consolidated close 23.015 rounded)</t>
  </si>
  <si>
    <t>NOT IBTN: in WInS, IBTN is INSCORP Inc (SEEN 29 Sep). Type IBTO and read the name.</t>
  </si>
  <si>
    <t>IBTM (ends a year early)</t>
  </si>
  <si>
    <t>SEEN 2026-09-29</t>
  </si>
  <si>
    <t>Jan 2033 payment + facility floor (both jobs in one holding)</t>
  </si>
  <si>
    <t>WInS close (tab WInS Notes)</t>
  </si>
  <si>
    <t>Largest order. Check the name says Dec 2032.</t>
  </si>
  <si>
    <t>none dated: no WInS Treasury matures between Feb 2031 and Feb 2036 (SEEN 29 Sep); if it cannot be bought, keep the cash and retry next session</t>
  </si>
  <si>
    <t>Treasury</t>
  </si>
  <si>
    <t>U.S. Treasury bond 3.125% maturing 15 Nov 2041</t>
  </si>
  <si>
    <t>UNVERIFIED (WInS string not recorded)</t>
  </si>
  <si>
    <t>912810QT8</t>
  </si>
  <si>
    <t>face value $ (unit UNVERIFIED in WInS)</t>
  </si>
  <si>
    <t>Sheet tab Book L (typed-in WInS 28 Sep clean + accrued)</t>
  </si>
  <si>
    <t>Same date as the 2.000% Nov-2041: check the coupon.</t>
  </si>
  <si>
    <t>2.000% 15 Nov 2041 (912810TC2), if listed and within 25bp</t>
  </si>
  <si>
    <t>bonds after the iBonds: WInS fills them at end-of-day prices</t>
  </si>
  <si>
    <t>U.S. Treasury bond 4.250% maturing 15 Nov 2040</t>
  </si>
  <si>
    <t>912810QL5</t>
  </si>
  <si>
    <t>Same date as the 1.375% Nov-2040: check the coupon.</t>
  </si>
  <si>
    <t>1.375% 15 Nov 2040 (912810ST6), if listed and within 25bp</t>
  </si>
  <si>
    <t>U.S. Treasury bond 4.375% maturing 15 Nov 2039</t>
  </si>
  <si>
    <t>912810QD3</t>
  </si>
  <si>
    <t>Not the 4.375% Feb-2038 (stale price on 29 Sep): check the maturity.</t>
  </si>
  <si>
    <t>4.500% 15 Aug 2039 (912810QC5), if listed and within 25bp</t>
  </si>
  <si>
    <t>U.S. Treasury bond 4.500% maturing 15 May 2038</t>
  </si>
  <si>
    <t>912810PX0</t>
  </si>
  <si>
    <t>Not the 4.500% Feb-2036 or Aug-2039: check the maturity. Sheet accrued 0.530 is a typo (1.66 on 28 Sep, 1.71 on 2 Oct); use what WInS shows.</t>
  </si>
  <si>
    <t>4.375% 15 Feb 2038 (912810PW2) only if its WInS price passes the yield check (stale on 29 Sep); else 5.000% 15 May 2037 (912810PU6)</t>
  </si>
  <si>
    <t>U.S. Treasury bond 4.750% maturing 15 Feb 2037</t>
  </si>
  <si>
    <t>912810PT9</t>
  </si>
  <si>
    <t>Check the maturity says 2037.</t>
  </si>
  <si>
    <t>5.000% 15 May 2037 (912810PU6), if listed and within 25bp</t>
  </si>
  <si>
    <t>Branch: the world stock fund (growth money)</t>
  </si>
  <si>
    <t>Not VTI (U.S. only). Order 11: place it only in the session after all five bonds show Filled (Mon 5 Oct ET); re-run with --cash-before-vt first.</t>
  </si>
  <si>
    <t>VTI + VXUS in VT's own U.S./non-U.S. mix (two trades)</t>
  </si>
  <si>
    <t>last, in the next session: sized from the cash left after the bonds fill (payments and floor first)</t>
  </si>
  <si>
    <t>BookL</t>
  </si>
  <si>
    <t>Jan 2033 payment</t>
  </si>
  <si>
    <t>Summary by book</t>
  </si>
  <si>
    <t>Expected spend ($)</t>
  </si>
  <si>
    <t>Cash left: expected ($)</t>
  </si>
  <si>
    <t>Cash left: worst case ($)</t>
  </si>
  <si>
    <t>Share of the 200-trade limit</t>
  </si>
  <si>
    <t>Portfolio: order 11 (VT) is placed the session after all five bonds show Filled (Mon 5 Oct ET), sized from the cash WInS then shows (refresh_tickets.py --cash-before-vt).</t>
  </si>
  <si>
    <t>RAB Notes: one row per trade. Team note = what you paste into the WInS Trade note box (max 300 characters).</t>
  </si>
  <si>
    <t>The exemplar is an EXAMPLE only: the team rewrites every note in its own words before trading. Column M counts the Team note live; it turns red above 300. Rows marked 'conditional' are for a trade only if its condition happens (see 'When it is used').</t>
  </si>
  <si>
    <t>Trade note box limit (characters)</t>
  </si>
  <si>
    <t>Note ID</t>
  </si>
  <si>
    <t>When it is used</t>
  </si>
  <si>
    <t>Laura goal</t>
  </si>
  <si>
    <t>TN Analysis role</t>
  </si>
  <si>
    <t>TN Analysis pick</t>
  </si>
  <si>
    <t>Brief (facts the note may use)</t>
  </si>
  <si>
    <t>Label</t>
  </si>
  <si>
    <t>Exemplar note</t>
  </si>
  <si>
    <t>Exemplar characters</t>
  </si>
  <si>
    <t>Team note (write here)</t>
  </si>
  <si>
    <t>Team note characters</t>
  </si>
  <si>
    <t>Characters left</t>
  </si>
  <si>
    <t>Team note status</t>
  </si>
  <si>
    <t>IPS lines it links to</t>
  </si>
  <si>
    <t>Friday order 1 (both books)</t>
  </si>
  <si>
    <t>future funding</t>
  </si>
  <si>
    <t>tested</t>
  </si>
  <si>
    <t>Pick 1 (tested)</t>
  </si>
  <si>
    <t>Serves: Laura's 5th payment, $50,000 on 1 Jan 2037 (2027 deposit). Facts: iShares iBonds Dec 2036 Term Treasury ETF: 4 Treasuries maturing in 2036; ends on or about 15 Dec 2036; pays income monthly (iShares, 28 Sep); the test this note records: before the first order, `refresh_tickets.py` prints what Laura's ten payments cost on 1 Jan 2027 at the latest yields, the fall in yields that would use up the room (the break-even) and the words to type for it. The IPS claims the cost is under $300,000 (28 Sep: about $292,000, laura.ladder.cost_2027_strips; break-even about a quarter of a percentage point, laura.ladder.breakeven_fall_bp_strips). The 14 Oct check re-runs it (october_trade.md trigger B); the reflection reports that result either way; the break-even moves a lot from day to day: 20.1bp on 24 Sep, 19.3bp on 25 Sep, 26.2bp on 28 Sep, 28.9bp on 29 Sep (m1_ladder on the home.treasury.gov par curves fetched 30 Sep; MODEL; only 28 Sep is locked). So the note uses Friday's figure in words, never the 28 Sep one by default; basis: the numbers.yaml zero-coupon (STRIPS) figures, with forward rates coming true (the 1 Jan 2027 forward). WS4's 22.8bp is the same STRIPS basis with yields unchanged instead (about $293,000): a different convention, not the buyable ladder. Under the adopted rule reading R1(a) her real ladder is the WInS-listed one; sized to pay exactly $50,000 a rung it costs about $289,200 today, within $100 of STRIPS (`rab/results/M2/bookL_basis_check.txt`), so its room is about the same. The Sheet's Book L costs about $292,900 only because it buys more than needed (about $507,000 at forward rates). Both conventions round to 'about a quarter'; WS1 locks them (request 9). Use one basis in the note, the reflection and the IPS; if it fails on Friday: do not stop. Buy orders 1-10 from the `--split-from-curve` ticket (more in the dated holdings, less VT): the IPS says the 2028 deposit completes the earliest payments, so less is left for the facility (friday_checklist.md; exemplar IBTR_F in s5); who absorbs a gap: the 2028 deposit tops up the earliest payments first, so no payment is missed and less is left for the facility. Which part shrinks depends on the floor's definition, which the team settles (s7 triage): read literally, the IPS ('repay the whole remainder as Laura's facility floor') lowers the floor by the whole gap and the stock fund by only about a fifth of it (the floor costs about $117,000 per $150,000, laura.floor_cost_2028; derived); the kit's model (`plan_split`, WS4 `D_pre2027_rate_hedge.md`) holds the floor at $150,000 and puts the gap on the stock fund. 'The facility gets less' is true on either reading. 'Latest payments first' is the IPS funding rule, not the order of WInS trades; thinnest fund: about $38m in assets (iShares, 28 Sep); place it after the first hour. Sizes: Portfolio #1: 846 shares, expected Preview total $19,897.54 (ticket), 6.6% of the book (numbers.yaml); Laura's plan: about $29,000 of her 2027 deposit buys this rung; if its income is reinvested at only 2%, it delivers about $46,000 of the $50,000 (reinvest.rung.IBTR, MODEL; appendix only, never in a note). IPS: "At September 2026 yields the ten payments cost less than $300,000." / "The January 2027 deposit buys the liability-hedging portfolio, latest payments first." / "A moderate fall in yields would leave some payments for the 2028 deposit to complete" One number: 'a quarter of a percentage point' (the fall in yields before 1 Jan 2027 that lifts the ten payments above $300,000; the note says 'over about', because the room is used up only past it). On Friday type the words the refresh prints for that day's break-even: under 22.5bp 'about a fifth', 22.5 to 30bp 'about a quarter', 30 to 37.5bp 'about a third' [laura.ladder.breakeven_fall_bp_strips (26.2bp, MODEL, 28 Sep curve, zero-coupon basis, forward convention); Friday's figure is the refresh line, written in the Trade Log and re-locked by WS1 (request 1). $50,000 and $300,000 are case facts]. Do not say: 'Laura's ten $50,000 payments cost under...' without 'Treasuries for' (reads as ten $50,000 payments under $300,000); 'her $300,000 deposit' without 'first' (the WInS book is also $300,000); 'stocks get less' or 'the floor gets less' alone (which part shrinks depends on the floor's definition; say 'the facility gets less'); 'Tested before this first order:' as an opening (it reads as a label written for the analysis); 'a fall of a quarter point leaves...' (a fall must be MORE than the break-even, and 'point' alone is a price point); 'any gap falls on her first payment' (a large fall reaches several of the earliest; the IPS says 'some payments'); that the fund pays a set $50,000; 'thin' or 'risky' about the holding; 'we buy the latest payments first' (the IPS funding rule, not the WInS trade order); nor any word in notes.md s2. Friday: Friday fact, inside the note: the curve date ('at 1 Oct yields'). The refresh prints 'ten payments cost $X on 1 Jan 2027', the break-even and the words for this note: read them aloud, write them in the Trade Log, and type the printed words in place of 'a quarter' if they differ. If X is above $300,000, type IBTR_F (s5) and follow 'If the IBTR test fails' in friday_checklist.md. Use the WInS name string for IBTR in the Trade Log. If IBTR cannot be bought, the order becomes IBTQ and this note changes.</t>
  </si>
  <si>
    <t>EXAMPLE - team rewrites</t>
  </si>
  <si>
    <t>At 1 Oct yields, Treasuries for Laura's ten $50,000 payments cost under her $300,000 first deposit; this Dec 2036 Treasury fund is future funding for the fifth. If yields fall over about a quarter of a percentage point by January, her 2028 deposit tops up the earliest; the facility gets less.</t>
  </si>
  <si>
    <t>At September 2026 yields the ten payments cost less than $300,000. / The January 2027 deposit buys the liability-hedging portfolio, latest payments first. / A moderate fall in yields would leave some payments for the 2028 deposit to complete</t>
  </si>
  <si>
    <t>Friday order 2 (both books)</t>
  </si>
  <si>
    <t>supported</t>
  </si>
  <si>
    <t>Serves: Laura's 4th payment, $50,000 on 1 Jan 2036 (2027 deposit). Facts: iShares iBonds Dec 2035 Term Treasury ETF: 4 Treasuries; ends on or about 15 Dec 2035; monthly income (iShares, 28 Sep); WInS lists no Treasury maturing between 15 Feb 2031 and 15 Feb 2036 (43 bonds in the drop-down, SEEN 29 Sep), so none in 2035: a dated fund of 2035 Treasuries is the closest fit for the 2036 payment; iShares says its iBonds funds "do not seek to return any predetermined amount" (IBTM product page, 28 Sep 2026): the whole payout is not fixed, not only what its income earns. Sizes: Portfolio #2: 886 shares, expected Preview total $21,023.20 (ticket), 7.0% of the book (numbers.yaml); Laura's plan: about $31,000 of her 2027 deposit buys this rung; if its income is reinvested at only 2%, it delivers about $47,000 of the $50,000 (reinvest.rung.IBTQ, MODEL; appendix only, never in a note). IPS: "Laura's 2027 deposit buys Treasuries maturing before each of her ten $50,000 payments." One number: none needed: the dated gap in the WInS bond list is the fact [tab WInS Notes, SEEN 29 Sep]. Do not say: that no Treasury matures in those years at all (notes do; WInS just does not list them); that the fund repays or delivers a set $50,000; 'what its income earns can vary' as the only limit (the whole payout is not fixed); 'between Feb 2031 and Feb 2036' (the 2031 start means nothing for a 2036 payment); nor any word in notes.md s2. Friday: Friday fact: the WInS name string for IBTQ, copied exactly; re-read the drop-down for the gap.</t>
  </si>
  <si>
    <t>For future funding: the iShares iBonds Dec 2035 Term Treasury ETF is for the fourth of Laura's ten $50,000 residency payments, due 1 Jan 2036. WInS lists no Treasury bond maturing in 2035, so a dated fund of 2035 Treasuries is the closest fit. What it pays out is not fixed.</t>
  </si>
  <si>
    <t>Laura's 2027 deposit buys Treasuries maturing before each of her ten $50,000 payments.</t>
  </si>
  <si>
    <t>Friday order 3 (both books)</t>
  </si>
  <si>
    <t>Serves: Laura's 3rd payment, $50,000 on 1 Jan 2035 (2027 deposit). Facts: iShares iBonds Dec 2034 Term Treasury ETF: 4 Treasuries; ends on or about 15 Dec 2034; monthly income (iShares, 28 Sep); fair-price test: on 28 Sep the fund's price was 0.06% above the value of the Treasuries it holds (NAV $24.09, close $24.10; wins.ibond_checks.IBTP.premium_to_nav_pct). The note reports the latest published figure: the Premium/Discount iShares gives for the 1 Oct close, which sets the 1 Oct closing price against the 1 Oct NAV, so overnight rate moves do not blur it (a 2bp move shifts IBTP's value about 0.13%: effective duration 6.43 years, `rab/data/ishares/ibonds_facts.csv`, 28 Sep). The trade-date NAV appears only after the note is saved, so the note cannot claim it. The premium, not the fund's yield, is the test: a fund holding only Treasuries always yields about the Treasury curve; why it matters to Laura: the payments leave little room under her $300,000 first deposit (about $7,600, laura.ladder.headroom_2027_strips), so paying a premium for a fund would eat into it (reflection only). Sizes: Portfolio #3: 921 shares, expected Preview total $22,221.10 (ticket), 7.4% of the book (numbers.yaml); Laura's plan: about $33,000 of her 2027 deposit buys this rung; if its income is reinvested at only 2%, it delivers about $47,000 of the $50,000 (reinvest.rung.IBTP, MODEL; appendix only, never in a note). IPS: "Laura's 2027 deposit buys Treasuries maturing before each of her ten $50,000 payments." One number: 'almost exactly' (the fund's closing price against the value of its Treasuries, 1 Oct close) [wins.ibond_checks.IBTP.premium_to_nav_pct = 0.06 on 28 Sep; the 1 Oct figure is read on Friday morning and written in the Trade Log. A figure such as 'within 0.1%' needs the quote_as WS1 adds at the Friday re-lock (request 2)]. Do not say: 'her money' or 'Laura's money' for WInS cash (her deposit arrives in Jan 2027); 'bp'; that the yield is locked in for Laura; 'its yield was close to the Treasury curve, so the price was fair' (a Treasury fund's yield always is); 'on the trade date' (that day's value is published only after the note is saved); 'so we paid a fair price' (the check is of the 1 Oct close, not of the fill); nor any word in notes.md s2. Friday: Friday fact, inside the note: 'At the 1 Oct close'. On Friday morning read the Premium/Discount iShares publishes for the 1 Oct close on the IBTP page (or its 1 Oct closing price and NAV, and divide), and write it in the Trade Log with its date. If it is more than about 0.1% either way, write what you found instead. Copy the WInS name string for IBTP.</t>
  </si>
  <si>
    <t>The iShares iBonds Dec 2034 Term Treasury ETF is future funding for Laura's $50,000 residency payment on 1 Jan 2035. At the 1 Oct close its price was almost exactly the value of the 2034 Treasuries it holds; its end value is not fixed.</t>
  </si>
  <si>
    <t>Friday order 4 (both books)</t>
  </si>
  <si>
    <t>Serves: Laura's 2nd payment, $50,000 on 1 Jan 2034 (2027 deposit). Facts: iShares iBonds Dec 2033 Term Treasury ETF: 11 Treasuries; ends on or about 15 Dec 2033, when it pays out; monthly income (iShares, 28 Sep); trap: in WInS, IBTN is INSCORP Inc (SEEN 29 Sep); no iShares iBonds Treasury fund uses the ticker IBTN (iShares iBonds Treasury list, 30 Sep). The name check belongs in the Trade Log and in the Final Report's account of the team's experience, not in the note. Sizes: Portfolio #4: 1,016 shares, expected Preview total $23,413.32 (ticket), 7.8% of the book (numbers.yaml); Laura's plan: about $35,000 of her 2027 deposit buys this rung; if its income is reinvested at only 2%, it delivers about $48,000 of the $50,000 (reinvest.rung.IBTO, MODEL; appendix only, never in a note). IPS: "Laura's 2027 deposit buys Treasuries maturing before each of her ten $50,000 payments." One number: none needed [-]. Do not say: anything about IBTN in the note (record the check in the Trade Log); anything unkind about the other company; 'which then closes' (reads as the fund failing); 'its reinvested income can vary' as the only limit (the whole payout is not fixed); nor any word in notes.md s2. Friday: Type IBTO and IBTN once each; copy both names exactly as WInS shows them into the Trade Log. Friday fact: the WInS name string for IBTO.</t>
  </si>
  <si>
    <t>Role: future funding. The iShares iBonds Dec 2033 Term Treasury ETF is for the second of Laura's ten $50,000 payments, on 1 Jan 2034. WInS lists no Treasury bond maturing in 2033, so we use a fund of 2033 Treasuries; the amount it pays out that December is not fixed.</t>
  </si>
  <si>
    <t>IBTM_P</t>
  </si>
  <si>
    <t>Friday order 5 (Portfolio book)</t>
  </si>
  <si>
    <t>risk management and future funding</t>
  </si>
  <si>
    <t>Alternate A (supported: the floor and co-sponsors)</t>
  </si>
  <si>
    <t>Serves: two jobs: Laura's 1st payment, $50,000 on 1 Jan 2033 (2027 deposit), and the facility floor, the least she plans to give the facility (2028 deposit). Facts: iShares iBonds Dec 2032 Term Treasury ETF (SEEN in WInS 29 Sep): 15 Treasuries; ends on or about 15 Dec 2032; monthly income (iShares, 28 Sep); WInS lists no Treasury maturing in 2032 (none between 15 Feb 2031 and 15 Feb 2036, SEEN 29 Sep), so the IPS floor sits in this fund, together with the 2033 payment. Under the adopted rule reading R1(a) Laura's real plan is limited to WInS-listed securities too, so this fund is her floor holding as well; a reflection says so in one clause (s6). Late-2032 Treasury notes (4.125% 15 Nov 2032, 91282CFV8; 3.75% 30 Nov 2032, 91282CPM7; 3.875% 31 Dec 2032, 91282CPQ8, one day before the payment; MSPD Table V, 31 Aug 2026) are an option only under reading (b); what it holds: 15 Treasuries maturing from 31 Jan to 30 Nov 2032; about 48% by weight matures by 31 May 2032 (`research/insight_v1/wins_now/S1_fund_holdings_snapshot.csv`, 24 Sep). So its money comes back across 2032 and waits inside the fund until about 15 Dec: 'It holds 2032 Treasuries' is exact, the IPS's 'Treasuries maturing in late 2032' is loose (s7); both jobs fall due in Jan 2033 and come from different deposits (the payment from 2027, the floor from 2028): neither ranks behind the other; iShares says its iBonds funds "do not seek to return any predetermined amount" (IBTM product page, 28 Sep 2026); the limit, measured: if its income is reinvested at only 2%, IBTM delivers about 97% of the curve case, the least exposure of any rung (reinvest.rung.IBTM at_2pct 48,192 / at_curve 49,856; M9). Quote it only after WS1 adds a quote_as (request 4); Portfolio tab: 32.5% of the book, of which 24.3 points are the floor; Laura's plan: the floor costs about $117,000 of her 2028 deposit at the 28 Sep 5-year yield (laura.floor_cost_2028, MODEL; never in a note). Sizes: Portfolio #5: 4,486 shares, expected Preview total $97,640.36 (ticket), 32.5% of the book (numbers.yaml); Laura's plan: about $37,000 of her 2027 deposit buys the 2033 payment rung; if its income is reinvested at only 2%, it delivers about $48,000 of the $50,000 (reinvest.rung.IBTM, MODEL; appendix only, never in a note). IPS: "Part of the remainder buys Treasuries maturing in late 2032 that, with coupons reinvested, repay the whole remainder as Laura's facility floor." / "Laura's 2027 deposit buys Treasuries maturing before each of her ten $50,000 payments." One number: none in the exemplar ('about a third of our WInS portfolio' is available if the team trims) [wins.portfolio.holdings_close_0928 IBTM weight 0.3254 (WInS book)]. Do not say: 'then' between the payment and the floor (both are due in Jan 2033, from different deposits); that it 'covers', 'repays' or 'holds' a dollar amount (never '$150,000' next to this holding: PM-15); 'late-2032 Treasuries' for what it holds (they mature across 2032); two colons in one sentence, or a parenthesis that splits 'the facility floor ... she can name'; any 2031 dollar figure: range, top or co-sponsor amount (TN guide: not expected yet); the idea of the 2031 range is welcome; 'facility floor' without its gloss (the TN Analysis is read before the IPS); nor any word in notes.md s2. Friday: Re-read the WInS bond list for a 2032 Treasury (if one appears, tell Ray before trading). Friday fact: the WInS name string (SEEN 29 Sep; re-read it). A dated Preview price as the one number ('Bought at $__.__ on 2 Oct', the price WInS shows, never a kit reference price) fits only if the team trims elsewhere. If the team adopted the backstop sentence at the 1 Oct vote, type IBTM_R (s5) instead.</t>
  </si>
  <si>
    <t>Future funding and risk management: the iShares iBonds Dec 2032 Term Treasury ETF has two jobs in Laura's plan, her first $50,000 payment and the facility floor, the least she plans to give, which she can name to co-sponsors in 2031. It holds 2032 Treasuries; its end value is not fixed.</t>
  </si>
  <si>
    <t>Part of the remainder buys Treasuries maturing in late 2032 that, with coupons reinvested, repay the whole remainder as Laura's facility floor. / Laura's 2027 deposit buys Treasuries maturing before each of her ten $50,000 payments.</t>
  </si>
  <si>
    <t>T41</t>
  </si>
  <si>
    <t>Friday order 6, first bond (both books)</t>
  </si>
  <si>
    <t>Alternate C (supported: why bonds for the last five payments)</t>
  </si>
  <si>
    <t>Serves: Laura's 10th and last payment, $50,000 on 1 Jan 2042 (2027 deposit). Facts: U.S. Treasury bond 3.125% due 15 Nov 2041, CUSIP 912810QT8; matures 47 days before the payment; coupons twice a year; no iBonds Treasury fund ends from Dec 2037 to Dec 2043 (the list ends Dec 2036, then Dec 2044; iShares, 30 Sep), so the 2038-2042 payments use individual bonds; same-date alternate 2.000% 15 Nov 2041 (912810TC2, MSPD): the 1 Oct rule is the same as for Nov 2040: listed and inside its 25bp band means swap on Friday (SW41). Aug-maturity low coupons (1.125% Aug 2040, 1.75% Aug 2041) are not same-date alternates; in Laura's plan its set coupons plus principal come to about 86% of the $50,000 (reinvest.rung at_0pct 43,047); the rest depends on reinvested coupons (appendix only); WInS price 76.367 (28 Sep) is 1.9bp from the curve: passes. Sizes: Portfolio #6: $19,000 face, expected Preview total $14,745.61 (ticket), 4.9% of the book (numbers.yaml); Laura's plan: about $22,000 of her 2027 deposit buys this rung; if its income is reinvested at only 2%, it delivers about $45,000 of the $50,000 (reinvest.rung.T_3.125%_15-Nov-2041, MODEL; appendix only, never in a note). IPS: "Laura's 2027 deposit buys Treasuries maturing before each of her ten $50,000 payments." One number: none needed [-]. Do not say: 'each with a set amount due at maturity' (reads as a set $50,000; the face is about $29,000 in Book L); that the bond delivers a fixed $50,000 including coupons; 'between 2037 and 2043' (does 2037 count?); nor any word in notes.md s2. Friday: Price inside the 25bp band; if the 2.000% Nov-2041 is listed and passes, type SW41 instead. If WInS lists no 2.000% Nov 2041, the team may add 'WInS lists no lower-coupon bond of that date' if it fits. Friday fact: the WInS name string for the bond.</t>
  </si>
  <si>
    <t>Role: future funding. The 3.125% Treasury bond maturing 15 Nov 2041 is for the last of Laura's ten $50,000 payments, on 1 Jan 2042. No iBonds Treasury fund ends from 2037 to 2043, so her last five payments use individual bonds; part of each payment comes from reinvested coupons.</t>
  </si>
  <si>
    <t>T40b</t>
  </si>
  <si>
    <t>Friday order 7 (both books), default: WInS does not list the 1.375% Nov-2040</t>
  </si>
  <si>
    <t>Serves: Laura's 9th payment, $50,000 on 1 Jan 2041 (2027 deposit). Facts: U.S. Treasury bond 4.250% due 15 Nov 2040, CUSIP 912810QL5; WInS price 89.186 (28 Sep) is 5.1bp from the curve: passes; same-date alternate 1.375% 15 Nov 2040 (912810ST6): it exists (MSPD Table V, 31 Aug 2026); its WInS listing is UNVERIFIED until the Friday drop-down read. About 38% of the 4.250% bond's cash before 2041 comes as coupons, against 17% (M9, MODEL; not in numbers.yaml); which note (the 1 Oct rule, one rule for all same-slot alternates): T40b if WInS does not list the 1.375%; SW40 if it is listed and its price passes the 25bp check; T40s if it is listed but its price fails. T40 and T40c are retired (T40c kept a better listed bond for October: a staged trade); T40b records a constraint, not a change, so it is not a 'refined' pick; pick 2 then goes to IBTM_R or the T39 fallback (s6); the price the team checks on Friday morning is the 1 Oct close (WInS shows the previous close; bonds fill at end-of-day prices), so the note dates it; record the fill price in the Trade Log. Sizes: Portfolio #7: $17,000 face, expected Preview total $15,446.48 (ticket), 5.1% of the book (numbers.yaml); Laura's plan: about $24,000 of her 2027 deposit buys this rung; if its income is reinvested at only 2%, it delivers about $45,000 of the $50,000 (reinvest.rung.T_4.250%_15-Nov-2040, MODEL; appendix only, never in a note). IPS: "Laura's 2027 deposit buys Treasuries maturing before each of her ten $50,000 payments." One number: none from numbers.yaml; the M9 coupon shares (38% vs 17%) need a numbers.yaml entry before any note uses them [M9_selection.md (MODEL)]. Do not say: 'less income to reinvest' (reads as a loss: say less of her payment rests on reinvested coupons); 'we are checking' (the drop-down read settles it before the order); that a swap will happen; nor any word in notes.md s2. Friday: Read the drop-down first (Thursday's full list read settles it in advance). Not listed: this note. Listed and passing: SW40. Listed but failing: T40s. Friday fact, inside: 'Its 1 Oct WInS price passed our curve check'.</t>
  </si>
  <si>
    <t>Future funding: the 4.250% Treasury bond maturing 15 Nov 2040 is for Laura's ninth $50,000 payment, on 1 Jan 2041. A lower-coupon bond of that date would leave less of her payment resting on reinvested coupons, but WInS does not list one. Its 1 Oct WInS price passed our curve check.</t>
  </si>
  <si>
    <t>T39</t>
  </si>
  <si>
    <t>Friday order 8 (both books)</t>
  </si>
  <si>
    <t>Alternate B (supported: certainty and the reinvestment discovery); pick 2 if no refined note exists</t>
  </si>
  <si>
    <t>Serves: Laura's 8th payment, $50,000 on 1 Jan 2040 (2027 deposit). Facts: U.S. Treasury bond 4.375% due 15 Nov 2039, CUSIP 912810QD3; matures 47 days (about seven weeks) before the payment; WInS price 91.363 (28 Sep) is 6.6bp from the curve: passes; the certainty note: the one that says what Laura is owed and what she is not. In her plan the rung is about $25,000 of this bond; its set coupons plus principal come to about 86% of the $50,000 (reinvest.rung.T_4.375%_15-Nov-2039 at_0pct 42,947) and the rest depends on reinvested coupons: at 2% it falls about $4,700 short (at_2pct 45,320), at its own yield it just covers (at_own 50,203); scale: the Portfolio book holds $18,000 face (about 57% of $50,000 with coupons), so 'most of that payment' is true only in her plan, and the note says 'in her plan'; trap: WInS also lists a 4.375% bond of 15 Feb 2038, with a stale price; pick by coupon AND date. Sizes: Portfolio #8: $18,000 face, expected Preview total $16,754.93 (ticket), 5.6% of the book (numbers.yaml); Laura's plan: about $25,000 of her 2027 deposit buys this rung; if its income is reinvested at only 2%, it delivers about $45,000 of the $50,000 (reinvest.rung.T_4.375%_15-Nov-2039, MODEL; appendix only, never in a note). IPS: "In January 2033 the hedging portfolio becomes the operating reserve, held to maturity and shrinking as each holding pays out." One number: 'most of' (the share of the payment owed as set coupons and principal); 'about seven weeks' is date arithmetic [reinvest.rung.T_4.375%_15-Nov-2039 at_0pct 42,947 of 50,000 (MODEL); a percentage needs a quote_as from WS1 first (request 11)]. Do not say: 'the U.S. government owes a set amount' on its own (reads as the whole $50,000); 'reinvesting coupons covers the rest' (false at 2%: about $45,300 of $50,000); 'cover most of that payment' without 'in her plan' (the WInS holding is $18,000 face); that its price cannot fall (it can); 'we hold it to maturity' about WInS (the WInS book freezes on 6 Nov; holding to maturity is Laura's plan); nor any word in notes.md s2. Friday: Price inside the 25bp band. Friday fact: the WInS name string for the bond.</t>
  </si>
  <si>
    <t>Future funding: the 4.375% Treasury bond maturing 15 Nov 2039 ends about seven weeks before Laura's $50,000 residency payment on 1 Jan 2040. Its price will move, but in her plan, held to maturity, its set coupons and principal cover most of it; the rest depends on reinvested coupons.</t>
  </si>
  <si>
    <t>In January 2033 the hedging portfolio becomes the operating reserve, held to maturity and shrinking as each holding pays out.</t>
  </si>
  <si>
    <t>T38</t>
  </si>
  <si>
    <t>Friday order 9 (both books)</t>
  </si>
  <si>
    <t>Serves: Laura's 7th payment, $50,000 on 1 Jan 2039 (2027 deposit). Facts: U.S. Treasury bond 4.500% due 15 May 2038, CUSIP 912810PX0: the latest Treasury bond maturing before the payment (MSPD Table V, M9); it ends about 7.6 months early (231 days), and in Laura's plan that money waits in Treasury bills (0% in WInS); price check: this bond 14.4bp from the curve (passes). The 4.375% Feb 2038 bond at 99.98 (the 28 Sep close, seen in WInS 29 Sep) was 92bp off and the 4.5% Feb 2036 at 102.95 was 111bp off (both stale). The Feb 2038 bond was only the runner-up and ends earlier, so the check did not change the choice; why a 25bp band: the five good prices sat 2 to 15 hundredths of a percentage point of yield from the curve and the stale ones 92 and 111 hundredths (wins.bond_check.*), so a quarter point separates them; the Sheet records this bond's accrued interest as 0.530; 1.66 is right on 28 Sep (1.71 on 2 Oct): fix before 6 Nov; no longer a Trading Notes Analysis alternate (judge panel round 3: it tested WInS data, not her plan). The stale-price story, with the IBTN trap, goes in the Final Report's account of the competition and in the Trade Log, not in this note. Sizes: Portfolio #9: $19,000 face, expected Preview total $18,248.66 (ticket), 6.0% of the book (numbers.yaml); Laura's plan: about $28,000 of her 2027 deposit buys this rung; if its income is reinvested at only 2%, it delivers about $47,000 of the $50,000 (reinvest.rung.T_4.500%_15-May-2038, MODEL; appendix only, never in a note). IPS: "Laura's 2027 deposit buys Treasuries maturing before each of her ten $50,000 payments." / "At September 2026 yields the ten payments cost less than $300,000." One number: none: 'about seven and a half months' is date arithmetic (15 May 2038 to 1 Jan 2039 = 231 days). 'Almost a full percentage point of yield' (the stale gap) is available once WS1 aligns its quote_as (request 3) [wins.bond_check.T_4.375%_15-Feb-2038 gap_bp -92.1 (MODEL)]. Do not say: that WInS is 'wrong' or 'broken' (say 'stale'); 'bp'; '1 point of yield' (reads as a price point); the stale price of another bond (it did not change this choice; it goes in the Trade Log); 'is the last before' without a noun or verb after 'last'; the Sheet's accrued-interest typo; nor any word in notes.md s2. Friday: Re-check both prices on Friday and record any stale one in the Trade Log. Friday fact, inside: 'Its 1 Oct WInS price passed our curve check'.</t>
  </si>
  <si>
    <t>Role: future funding. The 4.500% Treasury bond maturing 15 May 2038 is the last to mature before Laura's $50,000 residency payment on 1 Jan 2039, so in her plan its money waits about seven and a half months in Treasury bills. Its 1 Oct WInS price passed our curve check.</t>
  </si>
  <si>
    <t>Laura's 2027 deposit buys Treasuries maturing before each of her ten $50,000 payments. / At September 2026 yields the ten payments cost less than $300,000.</t>
  </si>
  <si>
    <t>T37</t>
  </si>
  <si>
    <t>Friday order 10, last bond (both books), if WInS does not list the 5.000% May 2037</t>
  </si>
  <si>
    <t>Serves: Laura's 6th payment, $50,000 on 1 Jan 2038 (2027 deposit). Facts: U.S. Treasury bond 4.750% due 15 Feb 2037, CUSIP 912810PT9; matures about 10.5 months (320 days) before the payment; in Laura's plan the money waits in Treasury bills (0% in WInS); WInS price 97.152 (28 Sep) is 15.3bp from the curve: passes. Its max price is now capped at the band top (97.919; it was 97.940, above the band); the only later bond before the payment is the 5.000% 15 May 2037 (912810PU6; MSPD Table V; WInS listing UNVERIFIED). The 1 Oct rule: listed and inside its band means swap on Friday (SW37): it ends three months nearer the payment and M9 finds the same share at 2% (90.5% each, MODEL). M9's 1.2% cost gap compares a model price with a WInS price 15bp rich, so it is not a reason on its own. Sizes: Portfolio #10: $20,000 face, expected Preview total $19,564.31 (ticket), 6.5% of the book (numbers.yaml); Laura's plan: about $29,000 of her 2027 deposit buys this rung; if its income is reinvested at only 2%, it delivers about $47,000 of the $50,000 (reinvest.rung.T_4.750%_15-Feb-2037, MODEL; appendix only, never in a note). IPS: "Laura's 2027 deposit buys Treasuries maturing before each of her ten $50,000 payments." / "In January 2033 the hedging portfolio becomes the operating reserve, held to maturity and shrinking as each holding pays out." One number: 'about ten and a half months early' (date arithmetic) [15 Feb 2037 to 1 Jan 2038 = 320 days]. Do not say: that the waiting money earns interest in WInS (WInS cash earns 0%); 'about ten months' (it is 10.5); 'comes out about the same' (an untraced comparison); nor any word in notes.md s2. Friday: Read the drop-down: 5.000% May 2037 listed and passing: type SW37. Listed but failing: replace 'It is the last WInS bond maturing before then' with 'The 5.000% May 2037 bond's WInS price failed our check'. Not listed: this note. Price inside the 25bp band; the last bond order. Friday fact: the WInS name string.</t>
  </si>
  <si>
    <t>For future funding, the 4.750% Treasury bond maturing 15 Feb 2037 is for Laura's $50,000 payment on 1 Jan 2038. It is the last WInS bond maturing before then, so it ends about ten and a half months early; what the waiting money and its coupons earn can vary.</t>
  </si>
  <si>
    <t>Laura's 2027 deposit buys Treasuries maturing before each of her ten $50,000 payments. / In January 2033 the hedging portfolio becomes the operating reserve, held to maturity and shrinking as each holding pays out.</t>
  </si>
  <si>
    <t>Order 11, the session after the bonds fill (Portfolio only)</t>
  </si>
  <si>
    <t>growth</t>
  </si>
  <si>
    <t>Pick 3 (supported)</t>
  </si>
  <si>
    <t>Serves: the return-seeking portfolio: growth for Laura's 2033 facility contribution above the floor. Facts: Vanguard Total World Stock ETF (SEEN in WInS 29 Sep): one global index fund of about 10,000 stocks at a 0.06% fee (M9); order 11, placed Mon 5 Oct ET once the five bonds show Filled, sized from the cash then left (`--cash-before-vt`). WInS Order History then shows the payments and the floor bought before any stocks, as the IPS says; the note no longer says 'bought last' (Order History shows it), so its characters carry the research: 'thousands of companies worldwide' (IPS: 'a global index fund of thousands of companies'); in Laura's plan the stock fund is all that is left after the payments and the floor (plan split ladder 66%, floor 25%, stock fund 9%, laura.plan_split_2028.strips). In WInS about 1.7% stays as cash for fees and rounding, which is why the note says 'Laura's plan'; why so little stock (reflection): the ten payments use almost all of Laura's first deposit (about $292,000 of $300,000 on 1 Jan 2027, laura.ladder.cost_2027_strips); research for the reflection: WS3 compared VT with a U.S.-only fund, a two-fund split and gold or property tilts; no alternative moved her bad case by more than about $1,500 (`D_fund_choice.md`; quote only after WS1 merges numbers_ws3.yaml, request 10); Laura's tolerance: 'willing to take thoughtful risks' (Client Profile p.2); the IPS rates it above average for facility money above the floor; IPS range: from the floor to the floor plus half the fund's value in 2031; the other half stays with Laura as a cushion; the 2033 contribution is capped at the announced top, so a rise after 2031 stays with her. A rise before 2031 lifts only the top of the range; the floor does not move; the tradeoff (reflection): more stock would raise her expected gift a little but lower the floor she names to co-sponsors in 2031 (IPS: moving money from the floor into equities 'widens the range of results. We do not recommend it'). Sizes: Portfolio #11: 164 shares, expected Preview total $26,069.84 (ticket), 8.7% of the book (numbers.yaml). IPS: "The rest, plus any 2027 remainder, forms the return-seeking portfolio, a global index fund of thousands of companies held to 2033." / "A market decline can reduce the facility contribution, but not below the floor." / "In 2031 Laura will give co-sponsors a range from the floor to the floor plus half the equity fund's value then." / "The other half remains with Laura as a cushion if costs rise or co-sponsors fall short." One number: none: 'thousands of companies' is the IPS's own description; 'about 9% of our WInS portfolio' (wins.portfolio.split_close_0928 vt 0.0868) moves to the reflection [IPS snapshot 30 Sep ('a global index fund of thousands of companies'; 'the floor plus half the equity fund's value')]. Do not say: 'only' before what a fall cuts (a fall also cuts the half she keeps); 'a rise lifts the top' without 'before 2031' (after 2031 the contribution is capped); 'lifts the range' (only the top moves; the floor does not); 'Half the fund stays hers' (drops its purpose, her cushion; with IBTM_R featured, that half also has a job); 'gets what was left' about WInS (about 1.7% stays as cash; say 'Laura's plan'); a return forecast (the IPS's 'should outperform' belongs in the IPS, not a note); probabilities, CAPE or valuation calls; 'Laura likes risk'; any 2031 or 2033 dollar figure; 'bought last' (Order History already shows it, and it is false if VT went in before the bonds by mistake); nor any word in notes.md s2. Friday: Mon 5 Oct: VT's size after `--cash-before-vt` (add `--split-from-curve` if the IBTR test failed). Friday fact: the WInS name string (SEEN 29 Sep; re-read it).</t>
  </si>
  <si>
    <t>Growth: the Vanguard Total World Stock ETF, thousands of companies worldwide, gets what Laura's plan leaves after the payments and facility floor (the least she plans to give). A fall can cut her gift, not below the floor; a rise before 2031 lifts the top of the range co-sponsors hear.</t>
  </si>
  <si>
    <t>The rest, plus any 2027 remainder, forms the return-seeking portfolio, a global index fund of thousands of companies held to 2033. / A market decline can reduce the facility contribution, but not below the floor. / In 2031 Laura will give co-sponsors a range from the floor to the floor plus half the equity fund's value then. / The other half remains with Laura as a cushion if costs rise or co-sponsors fall short.</t>
  </si>
  <si>
    <t>Book L: same security, brief and exemplar as Portfolio #1; only the size differs. Book L #1: 1,252 shares, expected Preview total $29,434.48 (ticket), 9.8% of the book (ticket cost / $300,000).</t>
  </si>
  <si>
    <t>Book L: same security, brief and exemplar as Portfolio #2; only the size differs. Book L #2: 1,311 shares, expected Preview total $31,095.70 (ticket), 10.4% of the book (ticket cost / $300,000).</t>
  </si>
  <si>
    <t>Book L: same security, brief and exemplar as Portfolio #3; only the size differs. Book L #3: 1,362 shares, expected Preview total $32,849.20 (ticket), 10.9% of the book (ticket cost / $300,000).</t>
  </si>
  <si>
    <t>Book L: same security, brief and exemplar as Portfolio #4; only the size differs. Book L #4: 1,503 shares, expected Preview total $34,624.06 (ticket), 11.5% of the book (ticket cost / $300,000).</t>
  </si>
  <si>
    <t>IBTM_L</t>
  </si>
  <si>
    <t>Friday order 5 (Book L only)</t>
  </si>
  <si>
    <t>Serves: Laura's 1st payment, $50,000 on 1 Jan 2033 (2027 deposit); Book L holds no floor. Facts: iShares iBonds Dec 2032 Term Treasury ETF (SEEN 29 Sep): ends on or about 15 Dec 2032; monthly income; WInS lists no Treasury maturing in late 2032 (SEEN 29 Sep); Book L = Laura's 2027 deposit dollar for dollar: the floor and the stock fund are bought in 2028 and never appear in WInS. Sizes: Book L #5: 1,678 shares, expected Preview total $36,538.28 (ticket), 12.2% of the book (ticket cost / $300,000); Laura's plan: about $37,000 of her 2027 deposit buys the 2033 payment rung; if its income is reinvested at only 2%, it delivers about $48,000 of the $50,000 (reinvest.rung.IBTM, MODEL; appendix only, never in a note). IPS: "Laura's 2027 deposit buys Treasuries maturing before each of her ten $50,000 payments." One number: none needed [-]. Do not say: the floor (Book L does not hold it); 'repays $50,000'; 'with its income reinvested' as a comfort (whether WInS pays ETF income into cash is UNVERIFIED); nor any word in notes.md s2. Friday: As for the Portfolio book.</t>
  </si>
  <si>
    <t>Role: future funding. The iShares iBonds Dec 2032 Term Treasury ETF ends before the first of Laura's ten $50,000 residency payments, on 1 Jan 2033. WInS lists no Treasury bond maturing in late 2032, so this dated fund is the closest fit; its end value is not fixed.</t>
  </si>
  <si>
    <t>Book L: same security, brief and exemplar as Portfolio #6; only the size differs. Book L #6: $29,000 face, expected Preview total $22,501.20 (ticket), 7.5% of the book (ticket cost / $300,000).</t>
  </si>
  <si>
    <t>Book L: same security, brief and exemplar as Portfolio #7; only the size differs. Book L #7: $26,000 face, expected Preview total $23,618.74 (ticket), 7.9% of the book (ticket cost / $300,000).</t>
  </si>
  <si>
    <t>Book L: same security, brief and exemplar as Portfolio #8; only the size differs. Book L #8: $27,000 face, expected Preview total $25,127.40 (ticket), 8.4% of the book (ticket cost / $300,000).</t>
  </si>
  <si>
    <t>Book L: same security, brief and exemplar as Portfolio #9; only the size differs. Book L #9: $29,000 face, expected Preview total $27,847.96 (ticket), 9.2% of the book (ticket cost / $300,000).</t>
  </si>
  <si>
    <t>Book L: same security, brief and exemplar as Portfolio #10; only the size differs. Book L #10: $30,000 face, expected Preview total $29,341.47 (ticket), 9.8% of the book (ticket cost / $300,000).</t>
  </si>
  <si>
    <t>conditional</t>
  </si>
  <si>
    <t>IBTR_F</t>
  </si>
  <si>
    <t>Friday order 1, only if the refresh says the IBTR test fails</t>
  </si>
  <si>
    <t>Pick 1 (tested), if typed</t>
  </si>
  <si>
    <t>Serves: Laura's 5th payment (1 Jan 2037). The failed-test version of IBTR: the rule decides the trade. Orders 1-10 come from the `--split-from-curve` ticket (more in the dated holdings), and VT on Monday gets the smaller share the refresh prints (friday_checklist.md; `--floor-rule` follows the team's floor definition, s7). The note says 'less is left for the facility', true whichever part shrinks. Tell Ray; WS1 records Friday's figure. IPS: "A moderate fall in yields would leave some payments for the 2028 deposit to complete" / "The January 2027 deposit buys the liability-hedging portfolio, latest payments first."</t>
  </si>
  <si>
    <t>At 1 Oct yields, Treasuries for Laura's ten $50,000 payments cost more than her $300,000 first deposit; this Dec 2036 Treasury fund is future funding for the fifth. As our plan says, her 2028 deposit tops up the earliest ones, so less is left for the facility.</t>
  </si>
  <si>
    <t>A moderate fall in yields would leave some payments for the 2028 deposit to complete / The January 2027 deposit buys the liability-hedging portfolio, latest payments first.</t>
  </si>
  <si>
    <t>IBTM_R</t>
  </si>
  <si>
    <t>Friday order 5 (Portfolio), only if the 1 Oct vote adopts the backstop sentence</t>
  </si>
  <si>
    <t>risk management</t>
  </si>
  <si>
    <t>refined</t>
  </si>
  <si>
    <t>Pick 2 (refined), if typed and no SW40, SW41 or OD_B</t>
  </si>
  <si>
    <t>Serves: Laura's 1st payment and the floor. Replaces IBTM_P. Records a change in the policy, decided before the order: the half of the stock fund Laura keeps becomes the first call on a shortfall from coupons or fund end values, before the floor. Type it only if the 1 Oct vote adopts the sentence and the IPS draft carries it the same day (the note says 'our policy'); by 6 Nov the IPS also names the order of use (first a payment shortfall, then facility costs or co-sponsor gaps) and admits the cushion may be partly used (s7). The kept half, about $20,000 in Jan 2028 (half of laura.stock_fund_2028_usd.strips $40,736), is about the size of the 2% gap ($20,399 more today, reinvest.bookL_buffer_cost at_2pct; $33,549 at 0%), so it covers a modest shortfall, not any. If not adopted, type IBTM_P. IPS: "Part of the remainder buys Treasuries maturing in late 2032 that, with coupons reinvested, repay the whole remainder as Laura's facility floor." / "The other half remains with Laura as a cushion if costs rise or co-sponsors fall short."</t>
  </si>
  <si>
    <t>Risk management: the iShares iBonds Dec 2032 Term Treasury ETF holds money for Laura's first $50,000 payment and her facility floor (the least she plans to give). Its end value is not fixed, so our policy makes the stock-fund half she keeps, not the floor, the first call on a shortfall.</t>
  </si>
  <si>
    <t>Part of the remainder buys Treasuries maturing in late 2032 that, with coupons reinvested, repay the whole remainder as Laura's facility floor. / The other half remains with Laura as a cushion if costs rise or co-sponsors fall short.</t>
  </si>
  <si>
    <t>T40s</t>
  </si>
  <si>
    <t>Friday order 7, if WInS lists the 1.375% Nov-2040 but its price fails the 25bp check</t>
  </si>
  <si>
    <t>Serves: Laura's 9th payment (1 Jan 2041). Same bond as T40b. A genuinely new fact decides it: the better bond is listed but its price is stale today. If its price passes on a later check, October trigger D swaps (OD_S, OD_B). IPS: "Laura's 2027 deposit buys Treasuries maturing before each of her ten $50,000 payments."</t>
  </si>
  <si>
    <t>Future funding: the 4.250% Treasury bond maturing 15 Nov 2040 is for the ninth of Laura's ten $50,000 payments. WInS lists a 1.375% bond of that date, which leaves less resting on reinvested coupons, but its 1 Oct price failed our curve check, so we buy this one.</t>
  </si>
  <si>
    <t>SW40</t>
  </si>
  <si>
    <t>T 1.375% 15-Nov-2040</t>
  </si>
  <si>
    <t>Friday --swap: the 1.375% Nov-2040 is listed and passes (1 Oct rule)</t>
  </si>
  <si>
    <t>Pick 2 (refined), if typed</t>
  </si>
  <si>
    <t>Serves: Laura's 9th payment (1 Jan 2041). Replaces T40b on Friday. CUSIP 912810ST6. Accept a WInS clean price only between 58.474 and 62.116 (25bp band, tickets.md). 'At about the same cost' may be added only after WS1 locks the M9 figures (request 5: $23,266 against $23,146 at forward rates, MODEL). IPS: "Laura's 2027 deposit buys Treasuries maturing before each of her ten $50,000 payments."</t>
  </si>
  <si>
    <t>We chose the 1.375% Treasury bond maturing 15 Nov 2040 over the 4.250% bond of that date for Laura's ninth $50,000 payment (future funding): more of what it pays comes at maturity, so less of her payment rests on reinvesting coupons. Its 1 Oct WInS price passed our curve check.</t>
  </si>
  <si>
    <t>SW41</t>
  </si>
  <si>
    <t>T 2.000% 15-Nov-2041</t>
  </si>
  <si>
    <t>Friday --swap: the 2.000% Nov-2041 is listed and passes (1 Oct rule)</t>
  </si>
  <si>
    <t>Pick 2 (refined), if typed and no SW40</t>
  </si>
  <si>
    <t>Serves: Laura's 10th payment (1 Jan 2042). Replaces T41 on Friday. CUSIP 912810TC2. Accept a WInS clean price only between 62.639 and 66.568 (25bp band, tickets.md). IPS: "Laura's 2027 deposit buys Treasuries maturing before each of her ten $50,000 payments."</t>
  </si>
  <si>
    <t>Role: future funding. The 2.000% Treasury bond maturing 15 Nov 2041 is for the last of Laura's ten $50,000 payments. We chose it over the 3.125% bond of the same date: more of what it pays comes at maturity, so less rests on reinvesting coupons. Its 1 Oct price passed our curve check.</t>
  </si>
  <si>
    <t>SW37</t>
  </si>
  <si>
    <t>T 5.000% 15-May-2037</t>
  </si>
  <si>
    <t>Friday --swap: the 5.000% May-2037 is listed and passes (1 Oct rule)</t>
  </si>
  <si>
    <t>Serves: Laura's 6th payment (1 Jan 2038). Replaces T37 on Friday. CUSIP 912810PU6. Accept a WInS clean price only between 95.905 and 99.884 (25bp band, tickets.md). The same rule as T38: the last bond before the payment. IPS: "Laura's 2027 deposit buys Treasuries maturing before each of her ten $50,000 payments."</t>
  </si>
  <si>
    <t>For future funding, the 5.000% Treasury bond maturing 15 May 2037 is for Laura's $50,000 payment on 1 Jan 2038. It is the last Treasury bond maturing before then, so its money waits three months less than with the Feb 2037 bond. Its 1 Oct WInS price passed our curve check.</t>
  </si>
  <si>
    <t>OD_S</t>
  </si>
  <si>
    <t>October trigger D, day 1: sell (october_trade.md)</t>
  </si>
  <si>
    <t>Serves: Laura's 9th payment (1 Jan 2041). Sell the whole holding (Portfolio $17,000 face; Book L $26,000). Only after a new fact: the 1.375% was listed on Friday with a stale price (T40s), or was not listed then and is now, and it passes today. Never on the day it was bought. IPS: "Laura's 2027 deposit buys Treasuries maturing before each of her ten $50,000 payments."</t>
  </si>
  <si>
    <t>Role: future funding. We are selling the 4.250% Treasury bond maturing 15 Nov 2040, for Laura's ninth payment, to buy the 1.375% bond of the same date, whose price now passes our curve check. More of what it pays comes at maturity, so less of her payment rests on reinvesting coupons.</t>
  </si>
  <si>
    <t>OD_B</t>
  </si>
  <si>
    <t>October trigger D, day 2: buy (october_trade.md)</t>
  </si>
  <si>
    <t>Pick 2 (refined), if trigger D fills</t>
  </si>
  <si>
    <t>Serves: Laura's 9th payment (1 Jan 2041). Face value from refresh_tickets.py --swap on the day; WInS price inside the 25bp band the refresh prints (28 Sep band: 58.474 to 62.116). Pick 2 if it fills with a saved note by 20 Oct ET. 'At about the same cost' only after WS1 locks request 5. If the bond was not listed on 2 Oct, the last sentence says so instead ('It was not listed on 2 Oct and now passes our curve check'). IPS: "Laura's 2027 deposit buys Treasuries maturing before each of her ten $50,000 payments."</t>
  </si>
  <si>
    <t>Future funding: we are buying the 1.375% Treasury bond maturing 15 Nov 2040 for Laura's ninth payment, in place of the 4.250% bond we sold. More of what it pays comes at maturity, so less rides on reinvested coupons. Its price was stale on 2 Oct and now passes our curve check.</t>
  </si>
  <si>
    <t>OB_S</t>
  </si>
  <si>
    <t>October trigger B: sell part of VT (rates-fall test)</t>
  </si>
  <si>
    <t>Pick 1 (tested), if trigger B fills</t>
  </si>
  <si>
    <t>Serves: the 2033 payment before growth. Fires only if the refresh on the 14 Oct close says the ten payments cost more than $300,000 on 1 Jan 2027 (today about $292,000, laura.ladder.cost_2027_strips; zero-coupon basis unless WS1 locks a buyable one first). Size from the refresh; only if at least $2,500. In a two-week move the gap stays inside the first payment; if the refresh ever shows more, write 'the earliest payments'. The sale's size follows the team's floor definition (s7; `--floor-rule`): under the IPS's literal wording far less comes out of VT. IPS: "A moderate fall in yields would leave some payments for the 2028 deposit to complete"</t>
  </si>
  <si>
    <t>Yields have fallen, so in our model Laura's ten payments now cost more than her $300,000 first deposit, and her 2028 deposit tops up her first payment, leaving less for the facility. As future funding, we move part of this stock fund into the iShares iBonds Dec 2032 Term Treasury ETF.</t>
  </si>
  <si>
    <t>A moderate fall in yields would leave some payments for the 2028 deposit to complete</t>
  </si>
  <si>
    <t>OB_B</t>
  </si>
  <si>
    <t>October trigger B: buy IBTM with the VT proceeds</t>
  </si>
  <si>
    <t>Serves: Laura's 1st payment and the floor. The buy leg of trigger B; OB_S is the note to feature. IPS: "A moderate fall in yields would leave some payments for the 2028 deposit to complete" / "The January 2027 deposit buys the liability-hedging portfolio, latest payments first."</t>
  </si>
  <si>
    <t>Role: future funding. We are adding to the iShares iBonds Dec 2032 Term Treasury ETF with money from the stock fund. After yields fell, Laura's 2028 deposit must complete her 2033 payment, as our plan allows, so the payments come first. Its end value is not fixed.</t>
  </si>
  <si>
    <t>OC</t>
  </si>
  <si>
    <t>October trigger C: spare cash above $6,300 into VT</t>
  </si>
  <si>
    <t>Serves: growth for the facility contribution. Buy VT with everything above the $3,300 float (october_trade.md). The reason is Laura's plan, not WInS. IPS: "The rest, plus any 2027 remainder, forms the return-seeking portfolio, a global index fund of thousands of companies held to 2033."</t>
  </si>
  <si>
    <t>Role: growth. Our cash is more than fees and rounding need, so the extra goes to the Vanguard Total World Stock ETF: in Laura's plan, money left after her payments and facility floor (the least she plans to give) joins the stock fund held to 2033.</t>
  </si>
  <si>
    <t>The rest, plus any 2027 remainder, forms the return-seeking portfolio, a global index fund of thousands of companies held to 2033.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</si>
</sst>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0;\(\$#,##0\);&quot;-&quot;"/>
    <numFmt numFmtId="165" formatCode="yyyy\-mm\-dd"/>
    <numFmt numFmtId="166" formatCode="0.0%;\(0.0%\);&quot;-&quot;"/>
    <numFmt numFmtId="167" formatCode="#,##0;\(#,##0\);&quot;-&quot;"/>
    <numFmt numFmtId="168" formatCode="0.000000"/>
    <numFmt numFmtId="169" formatCode="\$#,##0.00"/>
    <numFmt numFmtId="170" formatCode="0.000"/>
    <numFmt numFmtId="171" formatCode="\$#,##0.00;\(\$#,##0.00\);&quot;-&quot;"/>
    <numFmt numFmtId="172" formatCode="&quot;$&quot;#,##0.00"/>
    <numFmt numFmtId="173" formatCode="\$#,##0"/>
    <numFmt numFmtId="174" formatCode="0.0000"/>
    <numFmt numFmtId="175" formatCode="0.0%"/>
  </numFmts>
  <fonts count="41">
    <font>
      <sz val="10"/>
      <color rgb="FF000000"/>
      <name val="Aptos Narrow"/>
    </font>
    <font>
      <b/>
      <sz val="18"/>
      <color rgb="FF1F3764"/>
      <name val="Aptos Narrow"/>
      <family val="2"/>
    </font>
    <font>
      <sz val="10"/>
      <color theme="1"/>
      <name val="Aptos Narrow"/>
      <family val="2"/>
    </font>
    <font>
      <i/>
      <sz val="10"/>
      <color rgb="FF585858"/>
      <name val="Aptos Narrow"/>
      <family val="2"/>
    </font>
    <font>
      <b/>
      <sz val="10"/>
      <color rgb="FFFFFFFF"/>
      <name val="Aptos Narrow"/>
      <family val="2"/>
    </font>
    <font>
      <sz val="10"/>
      <color rgb="FF0000FF"/>
      <name val="Aptos Narrow"/>
      <family val="2"/>
    </font>
    <font>
      <b/>
      <sz val="10"/>
      <color theme="1"/>
      <name val="Aptos Narrow"/>
      <family val="2"/>
    </font>
    <font>
      <b/>
      <sz val="10"/>
      <color rgb="FF0000FF"/>
      <name val="Aptos Narrow"/>
      <family val="2"/>
    </font>
    <font>
      <sz val="10"/>
      <color theme="1"/>
      <name val="Aptos Narrow"/>
      <family val="2"/>
    </font>
    <font>
      <b/>
      <sz val="10"/>
      <color rgb="FFB24C00"/>
      <name val="Aptos Narrow"/>
      <family val="2"/>
    </font>
    <font>
      <b/>
      <sz val="16"/>
      <color rgb="FF1F3764"/>
      <name val="Aptos Narrow"/>
      <family val="2"/>
    </font>
    <font>
      <i/>
      <sz val="10"/>
      <color rgb="FF595959"/>
      <name val="Aptos Narrow"/>
      <family val="2"/>
    </font>
    <font>
      <b/>
      <sz val="10"/>
      <name val="Aptos Narrow"/>
      <family val="2"/>
    </font>
    <font>
      <i/>
      <sz val="10"/>
      <color rgb="FF404040"/>
      <name val="Aptos Narrow"/>
      <family val="2"/>
    </font>
    <font>
      <b/>
      <sz val="16"/>
      <color rgb="FF1F3764"/>
      <name val="Aptos Narrow"/>
    </font>
    <font>
      <sz val="10"/>
      <color theme="1"/>
      <name val="Aptos Narrow"/>
    </font>
    <font>
      <sz val="10"/>
      <color rgb="FF000000"/>
      <name val="Aptos Narrow"/>
    </font>
    <font>
      <i/>
      <sz val="10"/>
      <color rgb="FF595959"/>
      <name val="Aptos Narrow"/>
    </font>
    <font>
      <b/>
      <sz val="10"/>
      <color rgb="FFFFFFFF"/>
      <name val="Aptos Narrow"/>
    </font>
    <font>
      <sz val="10"/>
      <color rgb="FF0000FF"/>
      <name val="Aptos Narrow"/>
    </font>
    <font>
      <b/>
      <sz val="10"/>
      <color theme="1"/>
      <name val="Aptos Narrow"/>
    </font>
    <font>
      <i/>
      <sz val="10"/>
      <name val="Aptos Narrow"/>
    </font>
    <font>
      <sz val="10"/>
      <color rgb="FF222222"/>
      <name val="Aptos Narrow"/>
    </font>
    <font>
      <b/>
      <sz val="18"/>
      <color rgb="FF1F3864"/>
      <name val="Aptos Narrow"/>
    </font>
    <font>
      <sz val="10"/>
      <color rgb="FF000000"/>
      <name val="Aptos Narrow"/>
    </font>
    <font>
      <sz val="10"/>
      <color theme="1"/>
      <name val="Aptos Narrow"/>
    </font>
    <font>
      <sz val="10"/>
      <color rgb="FF666666"/>
      <name val="Aptos Narrow"/>
    </font>
    <font>
      <i/>
      <sz val="9"/>
      <color rgb="FF666666"/>
      <name val="Aptos Narrow"/>
    </font>
    <font>
      <b/>
      <sz val="11"/>
      <color rgb="FF1F3864"/>
      <name val="Aptos Narrow"/>
    </font>
    <font>
      <sz val="9"/>
      <color rgb="FF666666"/>
      <name val="Aptos Narrow"/>
    </font>
    <font>
      <b/>
      <sz val="16"/>
      <color rgb="FF1F3864"/>
      <name val="Aptos Narrow"/>
    </font>
    <font>
      <sz val="10"/>
      <color rgb="FF0000FF"/>
      <name val="Aptos Narrow"/>
    </font>
    <font>
      <b/>
      <sz val="10"/>
      <color rgb="FFFFFFFF"/>
      <name val="Aptos Narrow"/>
    </font>
    <font>
      <b/>
      <sz val="10"/>
      <color rgb="FF0000FF"/>
      <name val="Aptos Narrow"/>
    </font>
    <font>
      <sz val="10"/>
      <color rgb="FF008000"/>
      <name val="Aptos Narrow"/>
    </font>
    <font>
      <b/>
      <sz val="10"/>
      <color rgb="FF222222"/>
      <name val="Aptos Narrow"/>
    </font>
    <font>
      <b/>
      <sz val="18"/>
      <color rgb="FF1F3764"/>
      <name val="Aptos Narrow"/>
    </font>
    <font>
      <i/>
      <sz val="10"/>
      <color rgb="FF585858"/>
      <name val="Aptos Narrow"/>
    </font>
    <font>
      <b/>
      <sz val="10"/>
      <color theme="1"/>
      <name val="Aptos Narrow"/>
    </font>
    <font>
      <b/>
      <sz val="12"/>
      <color theme="1"/>
      <name val="Aptos Narrow"/>
    </font>
    <font>
      <sz val="10"/>
      <color rgb="FF585858"/>
      <name val="Aptos Narrow"/>
    </font>
  </fonts>
  <fills count="11">
    <fill>
      <patternFill patternType="none"/>
    </fill>
    <fill>
      <patternFill patternType="gray125"/>
    </fill>
    <fill>
      <patternFill patternType="solid">
        <fgColor rgb="FF1F3764"/>
        <bgColor rgb="FF1F3764"/>
      </patternFill>
    </fill>
    <fill>
      <patternFill patternType="solid">
        <fgColor rgb="FFFFFF00"/>
        <bgColor rgb="FFFFFF00"/>
      </patternFill>
    </fill>
    <fill>
      <patternFill patternType="solid">
        <fgColor rgb="FFEEF2F8"/>
        <bgColor rgb="FFEEF2F8"/>
      </patternFill>
    </fill>
    <fill>
      <patternFill patternType="solid">
        <fgColor rgb="FF1F3864"/>
        <bgColor rgb="FF1F3864"/>
      </patternFill>
    </fill>
    <fill>
      <patternFill patternType="solid">
        <fgColor rgb="FFEDF6EE"/>
        <bgColor rgb="FFEDF6EE"/>
      </patternFill>
    </fill>
    <fill>
      <patternFill patternType="solid">
        <fgColor rgb="FFF2F2F2"/>
        <bgColor rgb="FFF2F2F2"/>
      </patternFill>
    </fill>
    <fill>
      <patternFill patternType="solid">
        <fgColor rgb="FF1F3764"/>
      </patternFill>
    </fill>
    <fill>
      <patternFill patternType="solid">
        <fgColor rgb="FFF5F7FB"/>
      </patternFill>
    </fill>
    <fill>
      <patternFill patternType="solid">
        <fgColor rgb="FFFFF9DB"/>
      </patternFill>
    </fill>
  </fills>
  <borders count="11">
    <border>
      <left/>
      <right/>
      <top/>
      <bottom/>
      <diagonal/>
    </border>
    <border>
      <left style="thin">
        <color rgb="FFBEBEBE"/>
      </left>
      <right style="thin">
        <color rgb="FFBEBEBE"/>
      </right>
      <top style="thin">
        <color rgb="FFBEBEBE"/>
      </top>
      <bottom style="thin">
        <color rgb="FFBEBEBE"/>
      </bottom>
      <diagonal/>
    </border>
    <border>
      <left/>
      <right/>
      <top/>
      <bottom style="medium">
        <color rgb="FF1F3864"/>
      </bottom>
      <diagonal/>
    </border>
    <border>
      <left/>
      <right style="thick">
        <color rgb="FFFFFFFF"/>
      </right>
      <top/>
      <bottom/>
      <diagonal/>
    </border>
    <border>
      <left style="thick">
        <color rgb="FFFFFFFF"/>
      </left>
      <right style="thick">
        <color rgb="FFFFFFFF"/>
      </right>
      <top/>
      <bottom/>
      <diagonal/>
    </border>
    <border>
      <left style="thick">
        <color rgb="FFFFFFFF"/>
      </left>
      <right/>
      <top/>
      <bottom/>
      <diagonal/>
    </border>
    <border>
      <left/>
      <right/>
      <top/>
      <bottom style="thin">
        <color rgb="FFD9DEE7"/>
      </bottom>
      <diagonal/>
    </border>
    <border>
      <left/>
      <right/>
      <top style="thin">
        <color rgb="FFD9DEE7"/>
      </top>
      <bottom style="thin">
        <color rgb="FFD9DEE7"/>
      </bottom>
      <diagonal/>
    </border>
    <border>
      <left/>
      <right/>
      <top style="thin">
        <color rgb="FFD9DEE7"/>
      </top>
      <bottom/>
      <diagonal/>
    </border>
    <border>
      <left/>
      <right/>
      <top style="medium">
        <color rgb="FF1F3864"/>
      </top>
      <bottom style="medium">
        <color rgb="FF1F3864"/>
      </bottom>
      <diagonal/>
    </border>
    <border>
      <left/>
      <right/>
      <top/>
      <bottom style="thin">
        <color rgb="FFBFC7D5"/>
      </bottom>
      <diagonal/>
    </border>
  </borders>
  <cellStyleXfs count="1">
    <xf numFmtId="0" fontId="0" fillId="0" borderId="0"/>
  </cellStyleXfs>
  <cellXfs count="330">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vertical="center" wrapText="1"/>
    </xf>
    <xf numFmtId="0" fontId="4" fillId="2" borderId="6" xfId="0" applyFont="1" applyFill="1" applyBorder="1" applyAlignment="1">
      <alignment vertical="center" wrapText="1"/>
    </xf>
    <xf numFmtId="0" fontId="2" fillId="0" borderId="1" xfId="0" applyFont="1" applyBorder="1" applyAlignment="1">
      <alignment vertical="top" wrapText="1"/>
    </xf>
    <xf numFmtId="0" fontId="5" fillId="0" borderId="1" xfId="0" applyFont="1" applyBorder="1" applyAlignment="1">
      <alignment vertical="top" wrapText="1"/>
    </xf>
    <xf numFmtId="0" fontId="2" fillId="0" borderId="7" xfId="0" applyFont="1" applyBorder="1"/>
    <xf numFmtId="165" fontId="5" fillId="0" borderId="7" xfId="0" applyNumberFormat="1" applyFont="1" applyBorder="1"/>
    <xf numFmtId="0" fontId="5" fillId="0" borderId="7" xfId="0" applyFont="1" applyBorder="1"/>
    <xf numFmtId="3" fontId="5" fillId="0" borderId="7" xfId="0" applyNumberFormat="1" applyFont="1" applyBorder="1"/>
    <xf numFmtId="169" fontId="5" fillId="0" borderId="7" xfId="0" applyNumberFormat="1" applyFont="1" applyBorder="1"/>
    <xf numFmtId="171" fontId="5" fillId="0" borderId="7" xfId="0" applyNumberFormat="1" applyFont="1" applyBorder="1"/>
    <xf numFmtId="171" fontId="2" fillId="0" borderId="7" xfId="0" applyNumberFormat="1" applyFont="1" applyBorder="1"/>
    <xf numFmtId="0" fontId="5" fillId="0" borderId="7" xfId="0" applyFont="1" applyBorder="1" applyAlignment="1">
      <alignment wrapText="1"/>
    </xf>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xf>
    <xf numFmtId="0" fontId="4" fillId="2" borderId="1" xfId="0" applyFont="1" applyFill="1" applyBorder="1" applyAlignment="1">
      <alignment vertical="top" wrapText="1"/>
    </xf>
    <xf numFmtId="0" fontId="6" fillId="0" borderId="1" xfId="0" applyFont="1" applyBorder="1" applyAlignment="1">
      <alignment vertical="top" wrapText="1"/>
    </xf>
    <xf numFmtId="172" fontId="2" fillId="0" borderId="1" xfId="0" applyNumberFormat="1" applyFont="1" applyBorder="1" applyAlignment="1">
      <alignment vertical="top" wrapText="1"/>
    </xf>
    <xf numFmtId="169" fontId="2" fillId="0" borderId="1" xfId="0" applyNumberFormat="1" applyFont="1" applyBorder="1" applyAlignment="1">
      <alignment vertical="top" wrapText="1"/>
    </xf>
    <xf numFmtId="3" fontId="2" fillId="0" borderId="1" xfId="0" applyNumberFormat="1" applyFont="1" applyBorder="1" applyAlignment="1">
      <alignment vertical="top" wrapText="1"/>
    </xf>
    <xf numFmtId="0" fontId="5" fillId="3" borderId="1" xfId="0" applyFont="1" applyFill="1" applyBorder="1" applyAlignment="1">
      <alignment vertical="top" wrapText="1"/>
    </xf>
    <xf numFmtId="165" fontId="2" fillId="0" borderId="1" xfId="0" applyNumberFormat="1" applyFont="1" applyBorder="1" applyAlignment="1">
      <alignment vertical="top" wrapText="1"/>
    </xf>
    <xf numFmtId="0" fontId="10" fillId="0" borderId="0" xfId="0" applyFont="1"/>
    <xf numFmtId="0" fontId="11" fillId="0" borderId="0" xfId="0" applyFont="1"/>
    <xf numFmtId="0" fontId="4" fillId="8" borderId="0" xfId="0" applyFont="1" applyFill="1" applyAlignment="1">
      <alignment horizontal="left" vertical="center" wrapText="1"/>
    </xf>
    <xf numFmtId="0" fontId="12" fillId="0" borderId="0" xfId="0" applyFont="1"/>
    <xf numFmtId="0" fontId="7" fillId="0" borderId="0" xfId="0" applyFont="1"/>
    <xf numFmtId="0" fontId="8" fillId="0" borderId="10" xfId="0" applyFont="1" applyBorder="1" applyAlignment="1">
      <alignment vertical="top" wrapText="1"/>
    </xf>
    <xf numFmtId="0" fontId="9" fillId="0" borderId="10" xfId="0" applyFont="1" applyBorder="1" applyAlignment="1">
      <alignment vertical="top" wrapText="1"/>
    </xf>
    <xf numFmtId="0" fontId="13" fillId="0" borderId="10" xfId="0" applyFont="1" applyBorder="1" applyAlignment="1">
      <alignment vertical="top" wrapText="1"/>
    </xf>
    <xf numFmtId="0" fontId="8" fillId="10" borderId="10" xfId="0" applyFont="1" applyFill="1" applyBorder="1" applyAlignment="1">
      <alignment vertical="top" wrapText="1"/>
    </xf>
    <xf numFmtId="0" fontId="8" fillId="9" borderId="10" xfId="0" applyFont="1" applyFill="1" applyBorder="1" applyAlignment="1">
      <alignment vertical="top" wrapText="1"/>
    </xf>
    <xf numFmtId="0" fontId="9" fillId="9" borderId="10" xfId="0" applyFont="1" applyFill="1" applyBorder="1" applyAlignment="1">
      <alignment vertical="top" wrapText="1"/>
    </xf>
    <xf numFmtId="0" fontId="13" fillId="9" borderId="10" xfId="0" applyFont="1" applyFill="1" applyBorder="1" applyAlignment="1">
      <alignment vertical="top" wrapText="1"/>
    </xf>
    <xf numFmtId="0" fontId="8" fillId="9" borderId="10" xfId="0" applyFont="1" applyFill="1" applyBorder="1" applyAlignment="1">
      <alignment vertical="top"/>
    </xf>
    <xf numFmtId="0" fontId="0" fillId="9" borderId="10" xfId="0" applyFill="1" applyBorder="1" applyAlignment="1">
      <alignment vertical="top"/>
    </xf>
    <xf numFmtId="0" fontId="0" fillId="10" borderId="10" xfId="0" applyFill="1" applyBorder="1" applyAlignment="1">
      <alignment vertical="top" wrapText="1"/>
    </xf>
    <xf numFmtId="0" fontId="8" fillId="0" borderId="10" xfId="0" applyFont="1" applyBorder="1" applyAlignment="1">
      <alignment vertical="top"/>
    </xf>
    <xf numFmtId="0" fontId="0" fillId="0" borderId="10" xfId="0" applyBorder="1" applyAlignment="1">
      <alignment vertical="top"/>
    </xf>
    <xf numFmtId="0" fontId="0" fillId="0" borderId="10" xfId="0" applyBorder="1" applyAlignment="1">
      <alignment vertical="top" wrapText="1"/>
    </xf>
    <xf numFmtId="0" fontId="0" fillId="9" borderId="10" xfId="0" applyFill="1" applyBorder="1" applyAlignment="1">
      <alignment vertical="top" wrapText="1"/>
    </xf>
    <xf numFmtId="0" fontId="14" fillId="0" borderId="0" xfId="0" applyFont="1"/>
    <xf numFmtId="0" fontId="15" fillId="0" borderId="0" xfId="0" applyFont="1"/>
    <xf numFmtId="0" fontId="16" fillId="0" borderId="0" xfId="0" applyFont="1"/>
    <xf numFmtId="0" fontId="17" fillId="0" borderId="0" xfId="0" applyFont="1"/>
    <xf numFmtId="0" fontId="18" fillId="8" borderId="0" xfId="0" applyFont="1" applyFill="1" applyAlignment="1">
      <alignment horizontal="left" vertical="center" wrapText="1"/>
    </xf>
    <xf numFmtId="173" fontId="19" fillId="0" borderId="0" xfId="0" applyNumberFormat="1" applyFont="1"/>
    <xf numFmtId="0" fontId="19" fillId="0" borderId="0" xfId="0" applyFont="1"/>
    <xf numFmtId="0" fontId="15" fillId="0" borderId="10" xfId="0" applyFont="1" applyBorder="1" applyAlignment="1">
      <alignment vertical="top"/>
    </xf>
    <xf numFmtId="0" fontId="15" fillId="0" borderId="10" xfId="0" applyFont="1" applyBorder="1" applyAlignment="1">
      <alignment vertical="top" wrapText="1"/>
    </xf>
    <xf numFmtId="3" fontId="15" fillId="0" borderId="10" xfId="0" applyNumberFormat="1" applyFont="1" applyBorder="1" applyAlignment="1">
      <alignment vertical="top"/>
    </xf>
    <xf numFmtId="170" fontId="15" fillId="0" borderId="10" xfId="0" applyNumberFormat="1" applyFont="1" applyBorder="1" applyAlignment="1">
      <alignment vertical="top"/>
    </xf>
    <xf numFmtId="0" fontId="15" fillId="0" borderId="10" xfId="0" quotePrefix="1" applyFont="1" applyBorder="1" applyAlignment="1">
      <alignment vertical="top"/>
    </xf>
    <xf numFmtId="174" fontId="15" fillId="0" borderId="10" xfId="0" applyNumberFormat="1" applyFont="1" applyBorder="1" applyAlignment="1">
      <alignment vertical="top"/>
    </xf>
    <xf numFmtId="169" fontId="15" fillId="0" borderId="10" xfId="0" applyNumberFormat="1" applyFont="1" applyBorder="1" applyAlignment="1">
      <alignment vertical="top"/>
    </xf>
    <xf numFmtId="175" fontId="15" fillId="0" borderId="10" xfId="0" applyNumberFormat="1" applyFont="1" applyBorder="1" applyAlignment="1">
      <alignment vertical="top"/>
    </xf>
    <xf numFmtId="0" fontId="15" fillId="9" borderId="10" xfId="0" applyFont="1" applyFill="1" applyBorder="1" applyAlignment="1">
      <alignment vertical="top"/>
    </xf>
    <xf numFmtId="0" fontId="15" fillId="9" borderId="10" xfId="0" applyFont="1" applyFill="1" applyBorder="1" applyAlignment="1">
      <alignment vertical="top" wrapText="1"/>
    </xf>
    <xf numFmtId="3" fontId="15" fillId="9" borderId="10" xfId="0" applyNumberFormat="1" applyFont="1" applyFill="1" applyBorder="1" applyAlignment="1">
      <alignment vertical="top"/>
    </xf>
    <xf numFmtId="170" fontId="15" fillId="9" borderId="10" xfId="0" applyNumberFormat="1" applyFont="1" applyFill="1" applyBorder="1" applyAlignment="1">
      <alignment vertical="top"/>
    </xf>
    <xf numFmtId="0" fontId="15" fillId="9" borderId="10" xfId="0" quotePrefix="1" applyFont="1" applyFill="1" applyBorder="1" applyAlignment="1">
      <alignment vertical="top"/>
    </xf>
    <xf numFmtId="174" fontId="15" fillId="9" borderId="10" xfId="0" applyNumberFormat="1" applyFont="1" applyFill="1" applyBorder="1" applyAlignment="1">
      <alignment vertical="top"/>
    </xf>
    <xf numFmtId="169" fontId="15" fillId="9" borderId="10" xfId="0" applyNumberFormat="1" applyFont="1" applyFill="1" applyBorder="1" applyAlignment="1">
      <alignment vertical="top"/>
    </xf>
    <xf numFmtId="175" fontId="15" fillId="9" borderId="10" xfId="0" applyNumberFormat="1" applyFont="1" applyFill="1" applyBorder="1" applyAlignment="1">
      <alignment vertical="top"/>
    </xf>
    <xf numFmtId="0" fontId="15" fillId="9" borderId="10" xfId="0" quotePrefix="1" applyFont="1" applyFill="1" applyBorder="1" applyAlignment="1">
      <alignment vertical="top" wrapText="1"/>
    </xf>
    <xf numFmtId="0" fontId="15" fillId="0" borderId="10" xfId="0" quotePrefix="1" applyFont="1" applyBorder="1" applyAlignment="1">
      <alignment vertical="top" wrapText="1"/>
    </xf>
    <xf numFmtId="0" fontId="20" fillId="0" borderId="10" xfId="0" applyFont="1" applyBorder="1" applyAlignment="1">
      <alignment vertical="top"/>
    </xf>
    <xf numFmtId="0" fontId="21" fillId="0" borderId="0" xfId="0" applyFont="1"/>
    <xf numFmtId="0" fontId="22" fillId="0" borderId="0" xfId="0" applyFont="1" applyAlignment="1">
      <alignment vertical="center"/>
    </xf>
    <xf numFmtId="0" fontId="23" fillId="0" borderId="0" xfId="0" applyFont="1" applyAlignment="1">
      <alignment vertical="center"/>
    </xf>
    <xf numFmtId="0" fontId="24" fillId="0" borderId="0" xfId="0" applyFont="1"/>
    <xf numFmtId="0" fontId="25" fillId="0" borderId="0" xfId="0" applyFont="1"/>
    <xf numFmtId="0" fontId="26" fillId="0" borderId="0" xfId="0" applyFont="1" applyAlignment="1">
      <alignment vertical="center"/>
    </xf>
    <xf numFmtId="0" fontId="27" fillId="0" borderId="0" xfId="0" applyFont="1" applyAlignment="1">
      <alignment vertical="center"/>
    </xf>
    <xf numFmtId="0" fontId="28" fillId="0" borderId="2" xfId="0" applyFont="1" applyBorder="1" applyAlignment="1">
      <alignment vertical="center"/>
    </xf>
    <xf numFmtId="0" fontId="22" fillId="0" borderId="2" xfId="0" applyFont="1" applyBorder="1" applyAlignment="1">
      <alignment vertical="center"/>
    </xf>
    <xf numFmtId="0" fontId="29" fillId="4" borderId="3" xfId="0" applyFont="1" applyFill="1" applyBorder="1"/>
    <xf numFmtId="0" fontId="29" fillId="4" borderId="4" xfId="0" applyFont="1" applyFill="1" applyBorder="1"/>
    <xf numFmtId="0" fontId="29" fillId="4" borderId="5" xfId="0" applyFont="1" applyFill="1" applyBorder="1"/>
    <xf numFmtId="164" fontId="30" fillId="4" borderId="3" xfId="0" applyNumberFormat="1" applyFont="1" applyFill="1" applyBorder="1" applyAlignment="1">
      <alignment horizontal="left" vertical="top"/>
    </xf>
    <xf numFmtId="164" fontId="30" fillId="4" borderId="4" xfId="0" applyNumberFormat="1" applyFont="1" applyFill="1" applyBorder="1" applyAlignment="1">
      <alignment horizontal="left" vertical="top"/>
    </xf>
    <xf numFmtId="166" fontId="30" fillId="4" borderId="4" xfId="0" applyNumberFormat="1" applyFont="1" applyFill="1" applyBorder="1" applyAlignment="1">
      <alignment horizontal="left" vertical="top"/>
    </xf>
    <xf numFmtId="167" fontId="30" fillId="4" borderId="4" xfId="0" applyNumberFormat="1" applyFont="1" applyFill="1" applyBorder="1" applyAlignment="1">
      <alignment horizontal="left" vertical="top"/>
    </xf>
    <xf numFmtId="167" fontId="30" fillId="4" borderId="5" xfId="0" applyNumberFormat="1" applyFont="1" applyFill="1" applyBorder="1" applyAlignment="1">
      <alignment horizontal="left" vertical="top"/>
    </xf>
    <xf numFmtId="0" fontId="22" fillId="0" borderId="6" xfId="0" applyFont="1" applyBorder="1" applyAlignment="1">
      <alignment vertical="center"/>
    </xf>
    <xf numFmtId="166" fontId="31" fillId="0" borderId="6" xfId="0" applyNumberFormat="1" applyFont="1" applyBorder="1" applyAlignment="1">
      <alignment horizontal="right" vertical="center"/>
    </xf>
    <xf numFmtId="0" fontId="27" fillId="0" borderId="6" xfId="0" applyFont="1" applyBorder="1" applyAlignment="1">
      <alignment vertical="center"/>
    </xf>
    <xf numFmtId="164" fontId="31" fillId="0" borderId="6" xfId="0" applyNumberFormat="1" applyFont="1" applyBorder="1" applyAlignment="1">
      <alignment horizontal="right" vertical="center"/>
    </xf>
    <xf numFmtId="0" fontId="22" fillId="0" borderId="7" xfId="0" applyFont="1" applyBorder="1" applyAlignment="1">
      <alignment vertical="center"/>
    </xf>
    <xf numFmtId="166" fontId="31" fillId="0" borderId="7" xfId="0" applyNumberFormat="1" applyFont="1" applyBorder="1" applyAlignment="1">
      <alignment horizontal="right" vertical="center"/>
    </xf>
    <xf numFmtId="0" fontId="27" fillId="0" borderId="7" xfId="0" applyFont="1" applyBorder="1" applyAlignment="1">
      <alignment vertical="center"/>
    </xf>
    <xf numFmtId="164" fontId="31" fillId="0" borderId="7" xfId="0" applyNumberFormat="1" applyFont="1" applyBorder="1" applyAlignment="1">
      <alignment horizontal="right" vertical="center"/>
    </xf>
    <xf numFmtId="166" fontId="22" fillId="0" borderId="7" xfId="0" applyNumberFormat="1" applyFont="1" applyBorder="1" applyAlignment="1">
      <alignment horizontal="right" vertical="center"/>
    </xf>
    <xf numFmtId="167" fontId="31" fillId="0" borderId="7" xfId="0" applyNumberFormat="1" applyFont="1" applyBorder="1" applyAlignment="1">
      <alignment horizontal="right" vertical="center"/>
    </xf>
    <xf numFmtId="9" fontId="31" fillId="0" borderId="7" xfId="0" applyNumberFormat="1" applyFont="1" applyBorder="1" applyAlignment="1">
      <alignment horizontal="right" vertical="center"/>
    </xf>
    <xf numFmtId="0" fontId="31" fillId="0" borderId="7" xfId="0" applyFont="1" applyBorder="1" applyAlignment="1">
      <alignment horizontal="right" vertical="center"/>
    </xf>
    <xf numFmtId="0" fontId="32" fillId="5" borderId="0" xfId="0" applyFont="1" applyFill="1" applyAlignment="1">
      <alignment horizontal="left" vertical="center" wrapText="1"/>
    </xf>
    <xf numFmtId="0" fontId="32" fillId="5" borderId="0" xfId="0" applyFont="1" applyFill="1" applyAlignment="1">
      <alignment horizontal="center" vertical="center" wrapText="1"/>
    </xf>
    <xf numFmtId="0" fontId="33" fillId="0" borderId="6" xfId="0" applyFont="1" applyBorder="1" applyAlignment="1">
      <alignment vertical="center"/>
    </xf>
    <xf numFmtId="0" fontId="31" fillId="0" borderId="6" xfId="0" applyFont="1" applyBorder="1" applyAlignment="1">
      <alignment vertical="center"/>
    </xf>
    <xf numFmtId="0" fontId="26" fillId="0" borderId="6" xfId="0" applyFont="1" applyBorder="1" applyAlignment="1">
      <alignment vertical="center"/>
    </xf>
    <xf numFmtId="166" fontId="22" fillId="0" borderId="6" xfId="0" applyNumberFormat="1" applyFont="1" applyBorder="1" applyAlignment="1">
      <alignment horizontal="right" vertical="center"/>
    </xf>
    <xf numFmtId="164" fontId="22" fillId="0" borderId="6" xfId="0" applyNumberFormat="1" applyFont="1" applyBorder="1" applyAlignment="1">
      <alignment horizontal="right" vertical="center"/>
    </xf>
    <xf numFmtId="169" fontId="31" fillId="0" borderId="6" xfId="0" applyNumberFormat="1" applyFont="1" applyBorder="1" applyAlignment="1">
      <alignment horizontal="right" vertical="center"/>
    </xf>
    <xf numFmtId="167" fontId="22" fillId="0" borderId="6" xfId="0" applyNumberFormat="1" applyFont="1" applyBorder="1" applyAlignment="1">
      <alignment horizontal="right" vertical="center"/>
    </xf>
    <xf numFmtId="0" fontId="29" fillId="0" borderId="6" xfId="0" applyFont="1" applyBorder="1" applyAlignment="1">
      <alignment vertical="center"/>
    </xf>
    <xf numFmtId="0" fontId="33" fillId="0" borderId="7" xfId="0" applyFont="1" applyBorder="1" applyAlignment="1">
      <alignment vertical="center"/>
    </xf>
    <xf numFmtId="0" fontId="31" fillId="0" borderId="7" xfId="0" applyFont="1" applyBorder="1" applyAlignment="1">
      <alignment vertical="center"/>
    </xf>
    <xf numFmtId="0" fontId="26" fillId="0" borderId="7" xfId="0" applyFont="1" applyBorder="1" applyAlignment="1">
      <alignment vertical="center"/>
    </xf>
    <xf numFmtId="164" fontId="22" fillId="0" borderId="7" xfId="0" applyNumberFormat="1" applyFont="1" applyBorder="1" applyAlignment="1">
      <alignment horizontal="right" vertical="center"/>
    </xf>
    <xf numFmtId="169" fontId="31" fillId="0" borderId="7" xfId="0" applyNumberFormat="1" applyFont="1" applyBorder="1" applyAlignment="1">
      <alignment horizontal="right" vertical="center"/>
    </xf>
    <xf numFmtId="167" fontId="22" fillId="0" borderId="7" xfId="0" applyNumberFormat="1" applyFont="1" applyBorder="1" applyAlignment="1">
      <alignment horizontal="right" vertical="center"/>
    </xf>
    <xf numFmtId="0" fontId="29" fillId="0" borderId="7" xfId="0" applyFont="1" applyBorder="1" applyAlignment="1">
      <alignment vertical="center"/>
    </xf>
    <xf numFmtId="170" fontId="34" fillId="0" borderId="7" xfId="0" applyNumberFormat="1" applyFont="1" applyBorder="1" applyAlignment="1">
      <alignment horizontal="right" vertical="center"/>
    </xf>
    <xf numFmtId="0" fontId="33" fillId="6" borderId="7" xfId="0" applyFont="1" applyFill="1" applyBorder="1" applyAlignment="1">
      <alignment vertical="center"/>
    </xf>
    <xf numFmtId="0" fontId="31" fillId="6" borderId="7" xfId="0" applyFont="1" applyFill="1" applyBorder="1" applyAlignment="1">
      <alignment vertical="center"/>
    </xf>
    <xf numFmtId="0" fontId="26" fillId="6" borderId="7" xfId="0" applyFont="1" applyFill="1" applyBorder="1" applyAlignment="1">
      <alignment vertical="center"/>
    </xf>
    <xf numFmtId="166" fontId="22" fillId="6" borderId="7" xfId="0" applyNumberFormat="1" applyFont="1" applyFill="1" applyBorder="1" applyAlignment="1">
      <alignment horizontal="right" vertical="center"/>
    </xf>
    <xf numFmtId="164" fontId="22" fillId="6" borderId="7" xfId="0" applyNumberFormat="1" applyFont="1" applyFill="1" applyBorder="1" applyAlignment="1">
      <alignment horizontal="right" vertical="center"/>
    </xf>
    <xf numFmtId="169" fontId="31" fillId="6" borderId="7" xfId="0" applyNumberFormat="1" applyFont="1" applyFill="1" applyBorder="1" applyAlignment="1">
      <alignment horizontal="right" vertical="center"/>
    </xf>
    <xf numFmtId="167" fontId="22" fillId="6" borderId="7" xfId="0" applyNumberFormat="1" applyFont="1" applyFill="1" applyBorder="1" applyAlignment="1">
      <alignment horizontal="right" vertical="center"/>
    </xf>
    <xf numFmtId="0" fontId="29" fillId="6" borderId="7" xfId="0" applyFont="1" applyFill="1" applyBorder="1" applyAlignment="1">
      <alignment vertical="center"/>
    </xf>
    <xf numFmtId="0" fontId="33" fillId="7" borderId="8" xfId="0" applyFont="1" applyFill="1" applyBorder="1" applyAlignment="1">
      <alignment vertical="center"/>
    </xf>
    <xf numFmtId="0" fontId="31" fillId="7" borderId="8" xfId="0" applyFont="1" applyFill="1" applyBorder="1" applyAlignment="1">
      <alignment vertical="center"/>
    </xf>
    <xf numFmtId="0" fontId="26" fillId="7" borderId="8" xfId="0" applyFont="1" applyFill="1" applyBorder="1" applyAlignment="1">
      <alignment vertical="center"/>
    </xf>
    <xf numFmtId="166" fontId="22" fillId="7" borderId="8" xfId="0" applyNumberFormat="1" applyFont="1" applyFill="1" applyBorder="1" applyAlignment="1">
      <alignment horizontal="right" vertical="center"/>
    </xf>
    <xf numFmtId="164" fontId="22" fillId="7" borderId="8" xfId="0" applyNumberFormat="1" applyFont="1" applyFill="1" applyBorder="1" applyAlignment="1">
      <alignment horizontal="right" vertical="center"/>
    </xf>
    <xf numFmtId="0" fontId="22" fillId="7" borderId="8" xfId="0" applyFont="1" applyFill="1" applyBorder="1" applyAlignment="1">
      <alignment horizontal="right" vertical="center"/>
    </xf>
    <xf numFmtId="0" fontId="29" fillId="7" borderId="8" xfId="0" applyFont="1" applyFill="1" applyBorder="1" applyAlignment="1">
      <alignment vertical="center"/>
    </xf>
    <xf numFmtId="0" fontId="35" fillId="0" borderId="9" xfId="0" applyFont="1" applyBorder="1" applyAlignment="1">
      <alignment vertical="center"/>
    </xf>
    <xf numFmtId="166" fontId="35" fillId="0" borderId="9" xfId="0" applyNumberFormat="1" applyFont="1" applyBorder="1" applyAlignment="1">
      <alignment horizontal="right" vertical="center"/>
    </xf>
    <xf numFmtId="164" fontId="35" fillId="0" borderId="9" xfId="0" applyNumberFormat="1" applyFont="1" applyBorder="1" applyAlignment="1">
      <alignment horizontal="right" vertical="center"/>
    </xf>
    <xf numFmtId="0" fontId="35" fillId="0" borderId="9" xfId="0" applyFont="1" applyBorder="1" applyAlignment="1">
      <alignment horizontal="right" vertical="center"/>
    </xf>
    <xf numFmtId="0" fontId="36" fillId="0" borderId="0" xfId="0" applyFont="1"/>
    <xf numFmtId="0" fontId="37" fillId="0" borderId="0" xfId="0" applyFont="1"/>
    <xf numFmtId="0" fontId="32" fillId="2" borderId="1" xfId="0" applyFont="1" applyFill="1" applyBorder="1" applyAlignment="1">
      <alignment vertical="center" wrapText="1"/>
    </xf>
    <xf numFmtId="0" fontId="25" fillId="0" borderId="1" xfId="0" applyFont="1" applyBorder="1"/>
    <xf numFmtId="164" fontId="34" fillId="0" borderId="1" xfId="0" applyNumberFormat="1" applyFont="1" applyBorder="1"/>
    <xf numFmtId="0" fontId="38" fillId="0" borderId="1" xfId="0" applyFont="1" applyBorder="1"/>
    <xf numFmtId="164" fontId="25" fillId="0" borderId="1" xfId="0" applyNumberFormat="1" applyFont="1" applyBorder="1"/>
    <xf numFmtId="164" fontId="31" fillId="0" borderId="1" xfId="0" applyNumberFormat="1" applyFont="1" applyBorder="1"/>
    <xf numFmtId="166" fontId="25" fillId="0" borderId="1" xfId="0" applyNumberFormat="1" applyFont="1" applyBorder="1"/>
    <xf numFmtId="3" fontId="25" fillId="0" borderId="1" xfId="0" applyNumberFormat="1" applyFont="1" applyBorder="1"/>
    <xf numFmtId="0" fontId="39" fillId="0" borderId="0" xfId="0" applyFont="1"/>
    <xf numFmtId="0" fontId="31" fillId="0" borderId="1" xfId="0" quotePrefix="1" applyFont="1" applyBorder="1"/>
    <xf numFmtId="0" fontId="31" fillId="0" borderId="1" xfId="0" applyFont="1" applyBorder="1"/>
    <xf numFmtId="168" fontId="31" fillId="0" borderId="1" xfId="0" applyNumberFormat="1" applyFont="1" applyBorder="1"/>
    <xf numFmtId="169" fontId="31" fillId="0" borderId="1" xfId="0" applyNumberFormat="1" applyFont="1" applyBorder="1"/>
    <xf numFmtId="0" fontId="40" fillId="0" borderId="1" xfId="0" applyFont="1" applyBorder="1" applyAlignment="1">
      <alignment wrapText="1"/>
    </xf>
    <xf numFmtId="170" fontId="31" fillId="0" borderId="1" xfId="0" applyNumberFormat="1" applyFont="1" applyBorder="1"/>
    <xf numFmtId="164" fontId="38" fillId="0" borderId="1" xfId="0" applyNumberFormat="1" applyFont="1" applyBorder="1"/>
    <xf numFmtId="166" fontId="38" fillId="0" borderId="1" xfId="0" applyNumberFormat="1" applyFont="1" applyBorder="1"/>
    <xf numFmtId="0" fontId="22" fillId="0" borderId="0" xfId="0" applyFont="1" applyAlignment="1">
      <alignment vertical="center"/>
    </xf>
    <xf numFmtId="0" fontId="23" fillId="0" borderId="0" xfId="0" applyFont="1" applyAlignment="1">
      <alignment vertical="center" wrapText="1"/>
    </xf>
    <xf numFmtId="0" fontId="22" fillId="0" borderId="0" xfId="0" applyFont="1" applyAlignment="1">
      <alignment vertical="center" wrapText="1"/>
    </xf>
    <xf numFmtId="0" fontId="25" fillId="0" borderId="0" xfId="0" applyFont="1" applyAlignment="1">
      <alignment/>
    </xf>
    <xf numFmtId="0" fontId="26" fillId="0" borderId="0" xfId="0" applyFont="1" applyAlignment="1">
      <alignment vertical="center" wrapText="1"/>
    </xf>
    <xf numFmtId="0" fontId="27" fillId="0" borderId="0" xfId="0" applyFont="1" applyAlignment="1">
      <alignment vertical="center" wrapText="1"/>
    </xf>
    <xf numFmtId="0" fontId="28" fillId="0" borderId="2" xfId="0" applyFont="1" applyBorder="1" applyAlignment="1">
      <alignment vertical="center"/>
    </xf>
    <xf numFmtId="0" fontId="22" fillId="0" borderId="2" xfId="0" applyFont="1" applyBorder="1" applyAlignment="1">
      <alignment vertical="center"/>
    </xf>
    <xf numFmtId="0" fontId="29" fillId="4" borderId="3" xfId="0" applyFont="1" applyFill="1" applyBorder="1" applyAlignment="1">
      <alignment vertical="center" wrapText="1"/>
    </xf>
    <xf numFmtId="0" fontId="29" fillId="4" borderId="4" xfId="0" applyFont="1" applyFill="1" applyBorder="1" applyAlignment="1">
      <alignment vertical="center" wrapText="1"/>
    </xf>
    <xf numFmtId="0" fontId="29" fillId="4" borderId="5" xfId="0" applyFont="1" applyFill="1" applyBorder="1" applyAlignment="1">
      <alignment vertical="center" wrapText="1"/>
    </xf>
    <xf numFmtId="164" fontId="30" fillId="4" borderId="3" xfId="0" applyNumberFormat="1" applyFont="1" applyFill="1" applyBorder="1" applyAlignment="1">
      <alignment horizontal="left" vertical="center"/>
    </xf>
    <xf numFmtId="164" fontId="30" fillId="4" borderId="4" xfId="0" applyNumberFormat="1" applyFont="1" applyFill="1" applyBorder="1" applyAlignment="1">
      <alignment horizontal="left" vertical="center"/>
    </xf>
    <xf numFmtId="166" fontId="30" fillId="4" borderId="4" xfId="0" applyNumberFormat="1" applyFont="1" applyFill="1" applyBorder="1" applyAlignment="1">
      <alignment horizontal="left" vertical="center"/>
    </xf>
    <xf numFmtId="167" fontId="30" fillId="4" borderId="4" xfId="0" applyNumberFormat="1" applyFont="1" applyFill="1" applyBorder="1" applyAlignment="1">
      <alignment horizontal="left" vertical="center"/>
    </xf>
    <xf numFmtId="167" fontId="30" fillId="4" borderId="5" xfId="0" applyNumberFormat="1" applyFont="1" applyFill="1" applyBorder="1" applyAlignment="1">
      <alignment horizontal="left" vertical="center"/>
    </xf>
    <xf numFmtId="0" fontId="22" fillId="0" borderId="6" xfId="0" applyFont="1" applyBorder="1" applyAlignment="1">
      <alignment vertical="center"/>
    </xf>
    <xf numFmtId="166" fontId="31" fillId="0" borderId="6" xfId="0" applyNumberFormat="1" applyFont="1" applyBorder="1" applyAlignment="1">
      <alignment horizontal="right" vertical="center"/>
    </xf>
    <xf numFmtId="0" fontId="27" fillId="0" borderId="6" xfId="0" applyFont="1" applyBorder="1" applyAlignment="1">
      <alignment vertical="center" wrapText="1"/>
    </xf>
    <xf numFmtId="0" fontId="22" fillId="0" borderId="6" xfId="0" applyFont="1" applyBorder="1" applyAlignment="1">
      <alignment vertical="center" wrapText="1"/>
    </xf>
    <xf numFmtId="164" fontId="31" fillId="0" borderId="6" xfId="0" applyNumberFormat="1" applyFont="1" applyBorder="1" applyAlignment="1">
      <alignment horizontal="right" vertical="center"/>
    </xf>
    <xf numFmtId="0" fontId="22" fillId="0" borderId="7" xfId="0" applyFont="1" applyBorder="1" applyAlignment="1">
      <alignment vertical="center"/>
    </xf>
    <xf numFmtId="166" fontId="31" fillId="0" borderId="7" xfId="0" applyNumberFormat="1" applyFont="1" applyBorder="1" applyAlignment="1">
      <alignment horizontal="right" vertical="center"/>
    </xf>
    <xf numFmtId="0" fontId="27" fillId="0" borderId="7" xfId="0" applyFont="1" applyBorder="1" applyAlignment="1">
      <alignment vertical="center" wrapText="1"/>
    </xf>
    <xf numFmtId="0" fontId="22" fillId="0" borderId="7" xfId="0" applyFont="1" applyBorder="1" applyAlignment="1">
      <alignment vertical="center" wrapText="1"/>
    </xf>
    <xf numFmtId="164" fontId="31" fillId="0" borderId="7" xfId="0" applyNumberFormat="1" applyFont="1" applyBorder="1" applyAlignment="1">
      <alignment horizontal="right" vertical="center"/>
    </xf>
    <xf numFmtId="166" fontId="22" fillId="0" borderId="7" xfId="0" applyNumberFormat="1" applyFont="1" applyBorder="1" applyAlignment="1">
      <alignment horizontal="right" vertical="center"/>
    </xf>
    <xf numFmtId="167" fontId="31" fillId="0" borderId="7" xfId="0" applyNumberFormat="1" applyFont="1" applyBorder="1" applyAlignment="1">
      <alignment horizontal="right" vertical="center"/>
    </xf>
    <xf numFmtId="9" fontId="31" fillId="0" borderId="7" xfId="0" applyNumberFormat="1" applyFont="1" applyBorder="1" applyAlignment="1">
      <alignment horizontal="right" vertical="center"/>
    </xf>
    <xf numFmtId="0" fontId="31" fillId="0" borderId="7" xfId="0" applyFont="1" applyBorder="1" applyAlignment="1">
      <alignment horizontal="right" vertical="center"/>
    </xf>
    <xf numFmtId="0" fontId="32" fillId="5" borderId="0" xfId="0" applyFont="1" applyFill="1" applyAlignment="1">
      <alignment horizontal="left" vertical="center" wrapText="1"/>
    </xf>
    <xf numFmtId="0" fontId="32" fillId="5" borderId="0" xfId="0" applyFont="1" applyFill="1" applyAlignment="1">
      <alignment horizontal="center" vertical="center" wrapText="1"/>
    </xf>
    <xf numFmtId="0" fontId="33" fillId="0" borderId="6" xfId="0" applyFont="1" applyBorder="1" applyAlignment="1">
      <alignment vertical="center" wrapText="1"/>
    </xf>
    <xf numFmtId="0" fontId="31" fillId="0" borderId="6" xfId="0" applyFont="1" applyBorder="1" applyAlignment="1">
      <alignment vertical="center" wrapText="1"/>
    </xf>
    <xf numFmtId="0" fontId="26" fillId="0" borderId="6" xfId="0" applyFont="1" applyBorder="1" applyAlignment="1">
      <alignment vertical="center" wrapText="1"/>
    </xf>
    <xf numFmtId="166" fontId="22" fillId="0" borderId="6" xfId="0" applyNumberFormat="1" applyFont="1" applyBorder="1" applyAlignment="1">
      <alignment horizontal="right" vertical="center" wrapText="1"/>
    </xf>
    <xf numFmtId="164" fontId="22" fillId="0" borderId="6" xfId="0" applyNumberFormat="1" applyFont="1" applyBorder="1" applyAlignment="1">
      <alignment horizontal="right" vertical="center" wrapText="1"/>
    </xf>
    <xf numFmtId="169" fontId="31" fillId="0" borderId="6" xfId="0" applyNumberFormat="1" applyFont="1" applyBorder="1" applyAlignment="1">
      <alignment horizontal="right" vertical="center" wrapText="1"/>
    </xf>
    <xf numFmtId="167" fontId="22" fillId="0" borderId="6" xfId="0" applyNumberFormat="1" applyFont="1" applyBorder="1" applyAlignment="1">
      <alignment horizontal="right" vertical="center" wrapText="1"/>
    </xf>
    <xf numFmtId="0" fontId="29" fillId="0" borderId="6" xfId="0" applyFont="1" applyBorder="1" applyAlignment="1">
      <alignment vertical="center" wrapText="1"/>
    </xf>
    <xf numFmtId="0" fontId="33" fillId="0" borderId="7" xfId="0" applyFont="1" applyBorder="1" applyAlignment="1">
      <alignment vertical="center" wrapText="1"/>
    </xf>
    <xf numFmtId="0" fontId="31" fillId="0" borderId="7" xfId="0" applyFont="1" applyBorder="1" applyAlignment="1">
      <alignment vertical="center" wrapText="1"/>
    </xf>
    <xf numFmtId="0" fontId="26" fillId="0" borderId="7" xfId="0" applyFont="1" applyBorder="1" applyAlignment="1">
      <alignment vertical="center" wrapText="1"/>
    </xf>
    <xf numFmtId="166" fontId="22" fillId="0" borderId="7" xfId="0" applyNumberFormat="1" applyFont="1" applyBorder="1" applyAlignment="1">
      <alignment horizontal="right" vertical="center" wrapText="1"/>
    </xf>
    <xf numFmtId="164" fontId="22" fillId="0" borderId="7" xfId="0" applyNumberFormat="1" applyFont="1" applyBorder="1" applyAlignment="1">
      <alignment horizontal="right" vertical="center" wrapText="1"/>
    </xf>
    <xf numFmtId="169" fontId="31" fillId="0" borderId="7" xfId="0" applyNumberFormat="1" applyFont="1" applyBorder="1" applyAlignment="1">
      <alignment horizontal="right" vertical="center" wrapText="1"/>
    </xf>
    <xf numFmtId="167" fontId="22" fillId="0" borderId="7" xfId="0" applyNumberFormat="1" applyFont="1" applyBorder="1" applyAlignment="1">
      <alignment horizontal="right" vertical="center" wrapText="1"/>
    </xf>
    <xf numFmtId="0" fontId="29" fillId="0" borderId="7" xfId="0" applyFont="1" applyBorder="1" applyAlignment="1">
      <alignment vertical="center" wrapText="1"/>
    </xf>
    <xf numFmtId="170" fontId="34" fillId="0" borderId="7" xfId="0" applyNumberFormat="1" applyFont="1" applyBorder="1" applyAlignment="1">
      <alignment horizontal="right" vertical="center" wrapText="1"/>
    </xf>
    <xf numFmtId="0" fontId="33" fillId="6" borderId="7" xfId="0" applyFont="1" applyFill="1" applyBorder="1" applyAlignment="1">
      <alignment vertical="center" wrapText="1"/>
    </xf>
    <xf numFmtId="0" fontId="31" fillId="6" borderId="7" xfId="0" applyFont="1" applyFill="1" applyBorder="1" applyAlignment="1">
      <alignment vertical="center" wrapText="1"/>
    </xf>
    <xf numFmtId="0" fontId="26" fillId="6" borderId="7" xfId="0" applyFont="1" applyFill="1" applyBorder="1" applyAlignment="1">
      <alignment vertical="center" wrapText="1"/>
    </xf>
    <xf numFmtId="166" fontId="22" fillId="6" borderId="7" xfId="0" applyNumberFormat="1" applyFont="1" applyFill="1" applyBorder="1" applyAlignment="1">
      <alignment horizontal="right" vertical="center" wrapText="1"/>
    </xf>
    <xf numFmtId="164" fontId="22" fillId="6" borderId="7" xfId="0" applyNumberFormat="1" applyFont="1" applyFill="1" applyBorder="1" applyAlignment="1">
      <alignment horizontal="right" vertical="center" wrapText="1"/>
    </xf>
    <xf numFmtId="169" fontId="31" fillId="6" borderId="7" xfId="0" applyNumberFormat="1" applyFont="1" applyFill="1" applyBorder="1" applyAlignment="1">
      <alignment horizontal="right" vertical="center" wrapText="1"/>
    </xf>
    <xf numFmtId="167" fontId="22" fillId="6" borderId="7" xfId="0" applyNumberFormat="1" applyFont="1" applyFill="1" applyBorder="1" applyAlignment="1">
      <alignment horizontal="right" vertical="center" wrapText="1"/>
    </xf>
    <xf numFmtId="0" fontId="29" fillId="6" borderId="7" xfId="0" applyFont="1" applyFill="1" applyBorder="1" applyAlignment="1">
      <alignment vertical="center" wrapText="1"/>
    </xf>
    <xf numFmtId="0" fontId="33" fillId="7" borderId="8" xfId="0" applyFont="1" applyFill="1" applyBorder="1" applyAlignment="1">
      <alignment vertical="center" wrapText="1"/>
    </xf>
    <xf numFmtId="0" fontId="31" fillId="7" borderId="8" xfId="0" applyFont="1" applyFill="1" applyBorder="1" applyAlignment="1">
      <alignment vertical="center" wrapText="1"/>
    </xf>
    <xf numFmtId="0" fontId="26" fillId="7" borderId="8" xfId="0" applyFont="1" applyFill="1" applyBorder="1" applyAlignment="1">
      <alignment vertical="center" wrapText="1"/>
    </xf>
    <xf numFmtId="166" fontId="22" fillId="7" borderId="8" xfId="0" applyNumberFormat="1" applyFont="1" applyFill="1" applyBorder="1" applyAlignment="1">
      <alignment horizontal="right" vertical="center" wrapText="1"/>
    </xf>
    <xf numFmtId="164" fontId="22" fillId="7" borderId="8" xfId="0" applyNumberFormat="1" applyFont="1" applyFill="1" applyBorder="1" applyAlignment="1">
      <alignment horizontal="right" vertical="center" wrapText="1"/>
    </xf>
    <xf numFmtId="0" fontId="22" fillId="7" borderId="8" xfId="0" applyFont="1" applyFill="1" applyBorder="1" applyAlignment="1">
      <alignment horizontal="right" vertical="center" wrapText="1"/>
    </xf>
    <xf numFmtId="0" fontId="29" fillId="7" borderId="8" xfId="0" applyFont="1" applyFill="1" applyBorder="1" applyAlignment="1">
      <alignment vertical="center" wrapText="1"/>
    </xf>
    <xf numFmtId="0" fontId="35" fillId="0" borderId="9" xfId="0" applyFont="1" applyBorder="1" applyAlignment="1">
      <alignment vertical="center" wrapText="1"/>
    </xf>
    <xf numFmtId="166" fontId="35" fillId="0" borderId="9" xfId="0" applyNumberFormat="1" applyFont="1" applyBorder="1" applyAlignment="1">
      <alignment horizontal="right" vertical="center" wrapText="1"/>
    </xf>
    <xf numFmtId="164" fontId="35" fillId="0" borderId="9" xfId="0" applyNumberFormat="1" applyFont="1" applyBorder="1" applyAlignment="1">
      <alignment horizontal="right" vertical="center" wrapText="1"/>
    </xf>
    <xf numFmtId="0" fontId="35" fillId="0" borderId="9" xfId="0" applyFont="1" applyBorder="1" applyAlignment="1">
      <alignment horizontal="right" vertical="center" wrapText="1"/>
    </xf>
    <xf numFmtId="0" fontId="36" fillId="0" borderId="0" xfId="0" applyFont="1" applyAlignment="1">
      <alignment vertical="center" wrapText="1"/>
    </xf>
    <xf numFmtId="0" fontId="25" fillId="0" borderId="0" xfId="0" applyFont="1" applyAlignment="1">
      <alignment vertical="center" wrapText="1"/>
    </xf>
    <xf numFmtId="0" fontId="37" fillId="0" borderId="0" xfId="0" applyFont="1" applyAlignment="1">
      <alignment vertical="center" wrapText="1"/>
    </xf>
    <xf numFmtId="0" fontId="25" fillId="0" borderId="0" xfId="0" applyFont="1" applyAlignment="1">
      <alignment vertical="center"/>
    </xf>
    <xf numFmtId="0" fontId="32" fillId="2" borderId="1" xfId="0" applyFont="1" applyFill="1" applyBorder="1" applyAlignment="1">
      <alignment vertical="center" wrapText="1"/>
    </xf>
    <xf numFmtId="0" fontId="25" fillId="0" borderId="1" xfId="0" applyFont="1" applyBorder="1" applyAlignment="1">
      <alignment vertical="center" wrapText="1"/>
    </xf>
    <xf numFmtId="164" fontId="34" fillId="0" borderId="1" xfId="0" applyNumberFormat="1" applyFont="1" applyBorder="1" applyAlignment="1">
      <alignment vertical="center"/>
    </xf>
    <xf numFmtId="0" fontId="25" fillId="0" borderId="1" xfId="0" applyFont="1" applyBorder="1" applyAlignment="1">
      <alignment vertical="center"/>
    </xf>
    <xf numFmtId="0" fontId="38" fillId="0" borderId="1" xfId="0" applyFont="1" applyBorder="1" applyAlignment="1">
      <alignment vertical="center" wrapText="1"/>
    </xf>
    <xf numFmtId="164" fontId="25" fillId="0" borderId="1" xfId="0" applyNumberFormat="1" applyFont="1" applyBorder="1" applyAlignment="1">
      <alignment vertical="center"/>
    </xf>
    <xf numFmtId="164" fontId="31" fillId="0" borderId="1" xfId="0" applyNumberFormat="1" applyFont="1" applyBorder="1" applyAlignment="1">
      <alignment vertical="center"/>
    </xf>
    <xf numFmtId="166" fontId="25" fillId="0" borderId="1" xfId="0" applyNumberFormat="1" applyFont="1" applyBorder="1" applyAlignment="1">
      <alignment vertical="center"/>
    </xf>
    <xf numFmtId="3" fontId="25" fillId="0" borderId="1" xfId="0" applyNumberFormat="1" applyFont="1" applyBorder="1" applyAlignment="1">
      <alignment vertical="center"/>
    </xf>
    <xf numFmtId="0" fontId="39" fillId="0" borderId="0" xfId="0" applyFont="1" applyAlignment="1">
      <alignment vertical="center"/>
    </xf>
    <xf numFmtId="0" fontId="31" fillId="0" borderId="1" xfId="0" quotePrefix="1" applyFont="1" applyBorder="1" applyAlignment="1">
      <alignment vertical="center" wrapText="1"/>
    </xf>
    <xf numFmtId="0" fontId="31" fillId="0" borderId="1" xfId="0" applyFont="1" applyBorder="1" applyAlignment="1">
      <alignment vertical="center" wrapText="1"/>
    </xf>
    <xf numFmtId="168" fontId="31" fillId="0" borderId="1" xfId="0" applyNumberFormat="1" applyFont="1" applyBorder="1" applyAlignment="1">
      <alignment vertical="center" wrapText="1"/>
    </xf>
    <xf numFmtId="164" fontId="25" fillId="0" borderId="1" xfId="0" applyNumberFormat="1" applyFont="1" applyBorder="1" applyAlignment="1">
      <alignment vertical="center" wrapText="1"/>
    </xf>
    <xf numFmtId="169" fontId="31" fillId="0" borderId="1" xfId="0" applyNumberFormat="1" applyFont="1" applyBorder="1" applyAlignment="1">
      <alignment vertical="center" wrapText="1"/>
    </xf>
    <xf numFmtId="3" fontId="25" fillId="0" borderId="1" xfId="0" applyNumberFormat="1" applyFont="1" applyBorder="1" applyAlignment="1">
      <alignment vertical="center" wrapText="1"/>
    </xf>
    <xf numFmtId="166" fontId="25" fillId="0" borderId="1" xfId="0" applyNumberFormat="1" applyFont="1" applyBorder="1" applyAlignment="1">
      <alignment vertical="center" wrapText="1"/>
    </xf>
    <xf numFmtId="0" fontId="40" fillId="0" borderId="1" xfId="0" applyFont="1" applyBorder="1" applyAlignment="1">
      <alignment wrapText="1" vertical="center"/>
    </xf>
    <xf numFmtId="170" fontId="31" fillId="0" borderId="1" xfId="0" applyNumberFormat="1" applyFont="1" applyBorder="1" applyAlignment="1">
      <alignment vertical="center" wrapText="1"/>
    </xf>
    <xf numFmtId="164" fontId="38" fillId="0" borderId="1" xfId="0" applyNumberFormat="1" applyFont="1" applyBorder="1" applyAlignment="1">
      <alignment vertical="center" wrapText="1"/>
    </xf>
    <xf numFmtId="166" fontId="38" fillId="0" borderId="1" xfId="0" applyNumberFormat="1" applyFont="1" applyBorder="1" applyAlignment="1">
      <alignment vertical="center" wrapText="1"/>
    </xf>
    <xf numFmtId="0" fontId="4" fillId="2" borderId="6" xfId="0" applyFont="1" applyFill="1" applyBorder="1" applyAlignment="1">
      <alignment vertical="center" wrapText="1"/>
    </xf>
    <xf numFmtId="0" fontId="2" fillId="0" borderId="7" xfId="0" applyFont="1" applyBorder="1" applyAlignment="1">
      <alignment vertical="top" wrapText="1"/>
    </xf>
    <xf numFmtId="165" fontId="5" fillId="0" borderId="7" xfId="0" applyNumberFormat="1" applyFont="1" applyBorder="1" applyAlignment="1">
      <alignment vertical="top" wrapText="1"/>
    </xf>
    <xf numFmtId="0" fontId="5" fillId="0" borderId="7" xfId="0" applyFont="1" applyBorder="1" applyAlignment="1">
      <alignment vertical="top" wrapText="1"/>
    </xf>
    <xf numFmtId="3" fontId="5" fillId="0" borderId="7" xfId="0" applyNumberFormat="1" applyFont="1" applyBorder="1" applyAlignment="1">
      <alignment vertical="top" wrapText="1"/>
    </xf>
    <xf numFmtId="169" fontId="5" fillId="0" borderId="7" xfId="0" applyNumberFormat="1" applyFont="1" applyBorder="1" applyAlignment="1">
      <alignment vertical="top" wrapText="1"/>
    </xf>
    <xf numFmtId="171" fontId="5" fillId="0" borderId="7" xfId="0" applyNumberFormat="1" applyFont="1" applyBorder="1" applyAlignment="1">
      <alignment vertical="top" wrapText="1"/>
    </xf>
    <xf numFmtId="171" fontId="2" fillId="0" borderId="7" xfId="0" applyNumberFormat="1" applyFont="1" applyBorder="1" applyAlignment="1">
      <alignment vertical="top" wrapText="1"/>
    </xf>
    <xf numFmtId="0" fontId="5" fillId="0" borderId="7" xfId="0" applyFont="1" applyBorder="1" applyAlignment="1">
      <alignment wrapText="1" vertical="top"/>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vertical="center"/>
    </xf>
    <xf numFmtId="0" fontId="4" fillId="2" borderId="1" xfId="0" applyFont="1" applyFill="1" applyBorder="1" applyAlignment="1">
      <alignment vertical="center" wrapText="1"/>
    </xf>
    <xf numFmtId="0" fontId="2" fillId="0" borderId="1" xfId="0" applyFont="1" applyBorder="1" applyAlignment="1">
      <alignment vertical="center" wrapText="1"/>
    </xf>
    <xf numFmtId="0" fontId="5" fillId="3" borderId="1" xfId="0" applyFont="1" applyFill="1" applyBorder="1" applyAlignment="1">
      <alignment vertical="center" wrapText="1"/>
    </xf>
    <xf numFmtId="165" fontId="2" fillId="0" borderId="1" xfId="0" applyNumberFormat="1" applyFont="1" applyBorder="1" applyAlignment="1">
      <alignment vertical="center" wrapText="1"/>
    </xf>
    <xf numFmtId="0" fontId="2" fillId="0" borderId="1" xfId="0" applyFont="1" applyBorder="1" applyAlignment="1">
      <alignment vertical="top" wrapText="1"/>
    </xf>
    <xf numFmtId="0" fontId="5" fillId="0" borderId="1" xfId="0" applyFont="1" applyBorder="1" applyAlignment="1">
      <alignment vertical="top" wrapText="1"/>
    </xf>
    <xf numFmtId="0" fontId="5" fillId="0" borderId="1" xfId="0" applyFont="1" applyBorder="1" applyAlignment="1">
      <alignment vertical="center" wrapText="1"/>
    </xf>
    <xf numFmtId="0" fontId="2" fillId="0" borderId="0" xfId="0" applyFont="1" applyAlignment="1">
      <alignment/>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4" fillId="2" borderId="1" xfId="0" applyFont="1" applyFill="1" applyBorder="1" applyAlignment="1">
      <alignment vertical="center" wrapText="1"/>
    </xf>
    <xf numFmtId="0" fontId="6" fillId="0" borderId="1" xfId="0" applyFont="1" applyBorder="1" applyAlignment="1">
      <alignment vertical="top" wrapText="1"/>
    </xf>
    <xf numFmtId="172" fontId="2" fillId="0" borderId="1" xfId="0" applyNumberFormat="1" applyFont="1" applyBorder="1" applyAlignment="1">
      <alignment vertical="top" wrapText="1"/>
    </xf>
    <xf numFmtId="0" fontId="4" fillId="2" borderId="1" xfId="0" applyFont="1" applyFill="1" applyBorder="1" applyAlignment="1">
      <alignment vertical="top" wrapText="1"/>
    </xf>
    <xf numFmtId="169" fontId="2" fillId="0" borderId="1" xfId="0" applyNumberFormat="1" applyFont="1" applyBorder="1" applyAlignment="1">
      <alignment vertical="top" wrapText="1"/>
    </xf>
    <xf numFmtId="3" fontId="2" fillId="0" borderId="1" xfId="0" applyNumberFormat="1" applyFont="1" applyBorder="1" applyAlignment="1">
      <alignment vertical="top" wrapText="1"/>
    </xf>
    <xf numFmtId="0" fontId="2" fillId="0" borderId="0" xfId="0" applyFont="1" applyAlignment="1">
      <alignment vertical="top" wrapText="1"/>
    </xf>
    <xf numFmtId="0" fontId="14" fillId="0" borderId="0" xfId="0" applyFont="1" applyAlignment="1">
      <alignment vertical="center" wrapText="1"/>
    </xf>
    <xf numFmtId="0" fontId="15" fillId="0" borderId="0" xfId="0" applyFont="1" applyAlignment="1">
      <alignment vertical="center" wrapText="1"/>
    </xf>
    <xf numFmtId="0" fontId="15" fillId="0" borderId="0" xfId="0" applyFont="1" applyAlignment="1">
      <alignment vertical="center"/>
    </xf>
    <xf numFmtId="0" fontId="15" fillId="0" borderId="0" xfId="0" applyFont="1" applyAlignment="1">
      <alignment/>
    </xf>
    <xf numFmtId="0" fontId="17" fillId="0" borderId="0" xfId="0" applyFont="1" applyAlignment="1">
      <alignment vertical="center" wrapText="1"/>
    </xf>
    <xf numFmtId="0" fontId="18" fillId="8" borderId="0" xfId="0" applyFont="1" applyFill="1" applyAlignment="1">
      <alignment horizontal="left" vertical="center" wrapText="1"/>
    </xf>
    <xf numFmtId="173" fontId="19" fillId="0" borderId="0" xfId="0" applyNumberFormat="1" applyFont="1" applyAlignment="1">
      <alignment vertical="center" wrapText="1"/>
    </xf>
    <xf numFmtId="0" fontId="19" fillId="0" borderId="0" xfId="0" applyFont="1" applyAlignment="1">
      <alignment vertical="center" wrapText="1"/>
    </xf>
    <xf numFmtId="0" fontId="15" fillId="0" borderId="10" xfId="0" applyFont="1" applyBorder="1" applyAlignment="1">
      <alignment vertical="top" wrapText="1"/>
    </xf>
    <xf numFmtId="0" fontId="15" fillId="0" borderId="10" xfId="0" applyFont="1" applyBorder="1" applyAlignment="1">
      <alignment vertical="top" wrapText="1"/>
    </xf>
    <xf numFmtId="3" fontId="15" fillId="0" borderId="10" xfId="0" applyNumberFormat="1" applyFont="1" applyBorder="1" applyAlignment="1">
      <alignment vertical="top" wrapText="1"/>
    </xf>
    <xf numFmtId="170" fontId="15" fillId="0" borderId="10" xfId="0" applyNumberFormat="1" applyFont="1" applyBorder="1" applyAlignment="1">
      <alignment vertical="top" wrapText="1"/>
    </xf>
    <xf numFmtId="0" fontId="15" fillId="0" borderId="10" xfId="0" quotePrefix="1" applyFont="1" applyBorder="1" applyAlignment="1">
      <alignment vertical="top" wrapText="1"/>
    </xf>
    <xf numFmtId="174" fontId="15" fillId="0" borderId="10" xfId="0" applyNumberFormat="1" applyFont="1" applyBorder="1" applyAlignment="1">
      <alignment vertical="top" wrapText="1"/>
    </xf>
    <xf numFmtId="169" fontId="15" fillId="0" borderId="10" xfId="0" applyNumberFormat="1" applyFont="1" applyBorder="1" applyAlignment="1">
      <alignment vertical="top" wrapText="1"/>
    </xf>
    <xf numFmtId="175" fontId="15" fillId="0" borderId="10" xfId="0" applyNumberFormat="1" applyFont="1" applyBorder="1" applyAlignment="1">
      <alignment vertical="top" wrapText="1"/>
    </xf>
    <xf numFmtId="0" fontId="15" fillId="9" borderId="10" xfId="0" applyFont="1" applyFill="1" applyBorder="1" applyAlignment="1">
      <alignment vertical="top" wrapText="1"/>
    </xf>
    <xf numFmtId="0" fontId="15" fillId="9" borderId="10" xfId="0" applyFont="1" applyFill="1" applyBorder="1" applyAlignment="1">
      <alignment vertical="top" wrapText="1"/>
    </xf>
    <xf numFmtId="3" fontId="15" fillId="9" borderId="10" xfId="0" applyNumberFormat="1" applyFont="1" applyFill="1" applyBorder="1" applyAlignment="1">
      <alignment vertical="top" wrapText="1"/>
    </xf>
    <xf numFmtId="170" fontId="15" fillId="9" borderId="10" xfId="0" applyNumberFormat="1" applyFont="1" applyFill="1" applyBorder="1" applyAlignment="1">
      <alignment vertical="top" wrapText="1"/>
    </xf>
    <xf numFmtId="0" fontId="15" fillId="9" borderId="10" xfId="0" quotePrefix="1" applyFont="1" applyFill="1" applyBorder="1" applyAlignment="1">
      <alignment vertical="top" wrapText="1"/>
    </xf>
    <xf numFmtId="174" fontId="15" fillId="9" borderId="10" xfId="0" applyNumberFormat="1" applyFont="1" applyFill="1" applyBorder="1" applyAlignment="1">
      <alignment vertical="top" wrapText="1"/>
    </xf>
    <xf numFmtId="169" fontId="15" fillId="9" borderId="10" xfId="0" applyNumberFormat="1" applyFont="1" applyFill="1" applyBorder="1" applyAlignment="1">
      <alignment vertical="top" wrapText="1"/>
    </xf>
    <xf numFmtId="175" fontId="15" fillId="9" borderId="10" xfId="0" applyNumberFormat="1" applyFont="1" applyFill="1" applyBorder="1" applyAlignment="1">
      <alignment vertical="top" wrapText="1"/>
    </xf>
    <xf numFmtId="0" fontId="15" fillId="9" borderId="10" xfId="0" quotePrefix="1" applyFont="1" applyFill="1" applyBorder="1" applyAlignment="1">
      <alignment vertical="top" wrapText="1"/>
    </xf>
    <xf numFmtId="0" fontId="15" fillId="0" borderId="10" xfId="0" quotePrefix="1" applyFont="1" applyBorder="1" applyAlignment="1">
      <alignment vertical="top" wrapText="1"/>
    </xf>
    <xf numFmtId="0" fontId="20" fillId="0" borderId="10" xfId="0" applyFont="1" applyBorder="1" applyAlignment="1">
      <alignment vertical="center" wrapText="1"/>
    </xf>
    <xf numFmtId="0" fontId="15" fillId="0" borderId="10" xfId="0" applyFont="1" applyBorder="1" applyAlignment="1">
      <alignment vertical="center" wrapText="1"/>
    </xf>
    <xf numFmtId="169" fontId="15" fillId="0" borderId="10" xfId="0" applyNumberFormat="1" applyFont="1" applyBorder="1" applyAlignment="1">
      <alignment vertical="center" wrapText="1"/>
    </xf>
    <xf numFmtId="175" fontId="15" fillId="0" borderId="10" xfId="0" applyNumberFormat="1" applyFont="1" applyBorder="1" applyAlignment="1">
      <alignment vertical="center" wrapText="1"/>
    </xf>
    <xf numFmtId="0" fontId="21"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12" fillId="0" borderId="0" xfId="0" applyFont="1" applyAlignment="1">
      <alignment vertical="center"/>
    </xf>
    <xf numFmtId="0" fontId="7" fillId="0" borderId="0" xfId="0" applyFont="1" applyAlignment="1">
      <alignment vertical="center"/>
    </xf>
    <xf numFmtId="0" fontId="4" fillId="8" borderId="0" xfId="0" applyFont="1" applyFill="1" applyAlignment="1">
      <alignment horizontal="left" vertical="center" wrapText="1"/>
    </xf>
    <xf numFmtId="0" fontId="8" fillId="0" borderId="10" xfId="0" applyFont="1" applyBorder="1" applyAlignment="1">
      <alignment vertical="top" wrapText="1"/>
    </xf>
    <xf numFmtId="0" fontId="9" fillId="0" borderId="10" xfId="0" applyFont="1" applyBorder="1" applyAlignment="1">
      <alignment vertical="top" wrapText="1"/>
    </xf>
    <xf numFmtId="0" fontId="13" fillId="0" borderId="10" xfId="0" applyFont="1" applyBorder="1" applyAlignment="1">
      <alignment vertical="top" wrapText="1"/>
    </xf>
    <xf numFmtId="0" fontId="8" fillId="10" borderId="10" xfId="0" applyFont="1" applyFill="1" applyBorder="1" applyAlignment="1">
      <alignment vertical="top" wrapText="1"/>
    </xf>
    <xf numFmtId="0" fontId="8" fillId="9" borderId="10" xfId="0" applyFont="1" applyFill="1" applyBorder="1" applyAlignment="1">
      <alignment vertical="top" wrapText="1"/>
    </xf>
    <xf numFmtId="0" fontId="9" fillId="9" borderId="10" xfId="0" applyFont="1" applyFill="1" applyBorder="1" applyAlignment="1">
      <alignment vertical="top" wrapText="1"/>
    </xf>
    <xf numFmtId="0" fontId="13" fillId="9" borderId="10" xfId="0" applyFont="1" applyFill="1" applyBorder="1" applyAlignment="1">
      <alignment vertical="top" wrapText="1"/>
    </xf>
    <xf numFmtId="0" fontId="8" fillId="9" borderId="10" xfId="0" applyFont="1" applyFill="1" applyBorder="1" applyAlignment="1">
      <alignment vertical="top" wrapText="1"/>
    </xf>
    <xf numFmtId="0" fontId="0" fillId="9" borderId="10" xfId="0" applyFill="1" applyBorder="1" applyAlignment="1">
      <alignment vertical="top" wrapText="1"/>
    </xf>
    <xf numFmtId="0" fontId="0" fillId="10" borderId="10" xfId="0" applyFill="1" applyBorder="1" applyAlignment="1">
      <alignment vertical="top" wrapText="1"/>
    </xf>
    <xf numFmtId="0" fontId="8" fillId="0" borderId="10" xfId="0" applyFont="1" applyBorder="1" applyAlignment="1">
      <alignment vertical="top" wrapText="1"/>
    </xf>
    <xf numFmtId="0" fontId="0" fillId="0" borderId="10" xfId="0" applyBorder="1" applyAlignment="1">
      <alignment vertical="top" wrapText="1"/>
    </xf>
    <xf numFmtId="0" fontId="0" fillId="0" borderId="10" xfId="0" applyBorder="1" applyAlignment="1">
      <alignment vertical="top" wrapText="1"/>
    </xf>
    <xf numFmtId="0" fontId="0" fillId="9" borderId="10" xfId="0" applyFill="1" applyBorder="1" applyAlignment="1">
      <alignment vertical="top" wrapText="1"/>
    </xf>
  </cellXfs>
  <cellStyles count="1">
    <cellStyle name="Normal" xfId="0" builtinId="0"/>
  </cellStyles>
  <dxfs count="26">
    <dxf>
      <font>
        <b/>
        <color rgb="FF990000"/>
        <name val="Aptos Narrow"/>
      </font>
      <fill>
        <patternFill patternType="solid">
          <fgColor rgb="FFF4C6C1"/>
          <bgColor rgb="FFF4C6C1"/>
        </patternFill>
      </fill>
    </dxf>
    <dxf>
      <font>
        <b/>
        <color rgb="FF990000"/>
        <name val="Aptos Narrow"/>
      </font>
      <fill>
        <patternFill patternType="solid">
          <fgColor rgb="FFF4C6C1"/>
          <bgColor rgb="FFF4C6C1"/>
        </patternFill>
      </fill>
    </dxf>
    <dxf>
      <font>
        <b/>
        <color rgb="FF990000"/>
        <name val="Aptos Narrow"/>
      </font>
      <fill>
        <patternFill patternType="solid">
          <fgColor rgb="FFF4C6C1"/>
          <bgColor rgb="FFF4C6C1"/>
        </patternFill>
      </fill>
    </dxf>
    <dxf>
      <fill>
        <patternFill patternType="solid">
          <fgColor rgb="FFFFF299"/>
          <bgColor rgb="FFFFF299"/>
        </patternFill>
      </fill>
    </dxf>
    <dxf>
      <fill>
        <patternFill patternType="solid">
          <fgColor rgb="FFF4CCCC"/>
          <bgColor rgb="FFF4CCCC"/>
        </patternFill>
      </fill>
    </dxf>
    <dxf>
      <fill>
        <patternFill patternType="solid">
          <fgColor rgb="FFF4CCCC"/>
          <bgColor rgb="FFF4CCCC"/>
        </patternFill>
      </fill>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ill>
        <patternFill patternType="solid">
          <fgColor rgb="FFF2F4F9"/>
          <bgColor rgb="FFF2F4F9"/>
        </patternFill>
      </fill>
    </dxf>
    <dxf>
      <fill>
        <patternFill patternType="solid">
          <fgColor rgb="FFFFFFFF"/>
          <bgColor rgb="FFFFFFFF"/>
        </patternFill>
      </fill>
    </dxf>
    <dxf>
      <fill>
        <patternFill patternType="solid">
          <fgColor rgb="FF1F3863"/>
          <bgColor rgb="FF1F3863"/>
        </patternFill>
      </fill>
    </dxf>
    <dxf>
      <fill>
        <patternFill patternType="solid">
          <fgColor rgb="FFF7F9FC"/>
          <bgColor rgb="FFF7F9FC"/>
        </patternFill>
      </fill>
    </dxf>
    <dxf>
      <fill>
        <patternFill patternType="solid">
          <fgColor rgb="FFFFFFFF"/>
          <bgColor rgb="FFFFFFFF"/>
        </patternFill>
      </fill>
    </dxf>
  </dxfs>
  <tableStyles count="2" defaultTableStyle="TableStyleMedium9" defaultPivotStyle="PivotStyleLight16">
    <tableStyle name="Portfolio-style" pivot="0" count="2" xr9:uid="{00000000-0011-0000-FFFF-FFFF00000000}">
      <tableStyleElement type="firstRowStripe" dxfId="25"/>
      <tableStyleElement type="secondRowStripe" dxfId="24"/>
    </tableStyle>
    <tableStyle name="Trade Log-style" pivot="0" count="3" xr9:uid="{00000000-0011-0000-FFFF-FFFF01000000}">
      <tableStyleElement type="headerRow" dxfId="23"/>
      <tableStyleElement type="firstRowStripe" dxfId="22"/>
      <tableStyleElement type="secondRowStripe"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0:M29" headerRowCount="0" headerRowDxfId="20" dataDxfId="19" totalsRowDxfId="18">
  <tableColumns count="12">
    <tableColumn id="1" xr3:uid="{00000000-0010-0000-0000-000001000000}" name="Column1" dataDxfId="17"/>
    <tableColumn id="2" xr3:uid="{00000000-0010-0000-0000-000002000000}" name="Column2" dataDxfId="16"/>
    <tableColumn id="3" xr3:uid="{00000000-0010-0000-0000-000003000000}" name="Column3" dataDxfId="15"/>
    <tableColumn id="4" xr3:uid="{00000000-0010-0000-0000-000004000000}" name="Column4" dataDxfId="14"/>
    <tableColumn id="5" xr3:uid="{00000000-0010-0000-0000-000005000000}" name="Column5" dataDxfId="13"/>
    <tableColumn id="6" xr3:uid="{00000000-0010-0000-0000-000006000000}" name="Column6" dataDxfId="12"/>
    <tableColumn id="7" xr3:uid="{00000000-0010-0000-0000-000007000000}" name="Column7" dataDxfId="11"/>
    <tableColumn id="8" xr3:uid="{00000000-0010-0000-0000-000008000000}" name="Column8" dataDxfId="10"/>
    <tableColumn id="9" xr3:uid="{00000000-0010-0000-0000-000009000000}" name="Column9" dataDxfId="9"/>
    <tableColumn id="10" xr3:uid="{00000000-0010-0000-0000-00000A000000}" name="Column10" dataDxfId="8"/>
    <tableColumn id="11" xr3:uid="{00000000-0010-0000-0000-00000B000000}" name="Column11" dataDxfId="7"/>
    <tableColumn id="12" xr3:uid="{00000000-0010-0000-0000-00000C000000}" name="Column12" dataDxfId="6"/>
  </tableColumns>
  <tableStyleInfo name="Portfolio-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Q210">
  <tableColumns count="17">
    <tableColumn id="1" xr3:uid="{00000000-0010-0000-0100-000001000000}" name="Trade #"/>
    <tableColumn id="2" xr3:uid="{00000000-0010-0000-0100-000002000000}" name="Date (US Eastern)"/>
    <tableColumn id="3" xr3:uid="{00000000-0010-0000-0100-000003000000}" name="Ticker"/>
    <tableColumn id="4" xr3:uid="{00000000-0010-0000-0100-000004000000}" name="Type"/>
    <tableColumn id="5" xr3:uid="{00000000-0010-0000-0100-000005000000}" name="Buy or sell"/>
    <tableColumn id="6" xr3:uid="{00000000-0010-0000-0100-000006000000}" name="Quantity (shares, or face value $ for bonds)"/>
    <tableColumn id="7" xr3:uid="{00000000-0010-0000-0100-000007000000}" name="Fill price (per share, or per $100 face)"/>
    <tableColumn id="8" xr3:uid="{00000000-0010-0000-0100-000008000000}" name="Accrued interest paid ($, bonds only)"/>
    <tableColumn id="9" xr3:uid="{00000000-0010-0000-0100-000009000000}" name="Commission ($)"/>
    <tableColumn id="10" xr3:uid="{00000000-0010-0000-0100-00000A000000}" name="Gross amount ($)"/>
    <tableColumn id="11" xr3:uid="{00000000-0010-0000-0100-00000B000000}" name="Cash impact ($)"/>
    <tableColumn id="12" xr3:uid="{00000000-0010-0000-0100-00000C000000}" name="Job"/>
    <tableColumn id="13" xr3:uid="{00000000-0010-0000-0100-00000D000000}" name="Trade note (copied exactly from WInS)"/>
    <tableColumn id="14" xr3:uid="{00000000-0010-0000-0100-00000E000000}" name="Note length (characters)"/>
    <tableColumn id="15" xr3:uid="{00000000-0010-0000-0100-00000F000000}" name="Within note limit"/>
    <tableColumn id="16" xr3:uid="{00000000-0010-0000-0100-000010000000}" name="Entered by"/>
    <tableColumn id="17" xr3:uid="{00000000-0010-0000-0100-000011000000}" name="Screenshot saved"/>
  </tableColumns>
  <tableStyleInfo name="Trade Lo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ptos Narrow"/>
        <a:ea typeface="Arial"/>
        <a:cs typeface="Arial"/>
      </a:majorFont>
      <a:minorFont>
        <a:latin typeface="Aptos Narrow"/>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764"/>
    <outlinePr summaryBelow="0" summaryRight="0"/>
    <pageSetUpPr fitToPage="1"/>
  </sheetPr>
  <dimension ref="A1:Z1000"/>
  <sheetViews>
    <sheetView showGridLines="0" tabSelected="1" workbookViewId="0" topLeftCell="A1"/>
  </sheetViews>
  <sheetFormatPr defaultColWidth="12.7109375" defaultRowHeight="15.75" customHeight="1"/>
  <cols>
    <col min="1" max="1" width="2.5" style="74" customWidth="1"/>
    <col min="2" max="2" width="28" style="74" customWidth="1"/>
    <col min="3" max="3" width="34" style="74" customWidth="1"/>
    <col min="4" max="4" width="19" style="74" customWidth="1"/>
    <col min="5" max="5" width="18" style="74" customWidth="1"/>
    <col min="6" max="6" width="30" style="74" customWidth="1"/>
    <col min="7" max="7" width="21" style="74" customWidth="1"/>
    <col min="8" max="8" width="26" style="74" customWidth="1"/>
    <col min="9" max="9" width="18" style="74" customWidth="1"/>
    <col min="10" max="10" width="20" style="74" customWidth="1"/>
    <col min="11" max="11" width="18" style="74" customWidth="1"/>
    <col min="12" max="12" width="20" style="74" customWidth="1"/>
    <col min="13" max="13" width="40" style="74" customWidth="1"/>
    <col min="14" max="14" width="2.28515625" style="74" customWidth="1"/>
    <col min="15" max="15" width="25.140625" style="74" customWidth="1"/>
    <col min="16" max="16384" width="12.7109375" style="74"/>
  </cols>
  <sheetData>
    <row r="1" spans="1:26" ht="34.0" customHeight="1">
      <c r="A1" s="156"/>
      <c r="B1" s="157" t="s">
        <v>0</v>
      </c>
      <c r="C1" s="158"/>
      <c r="D1" s="158"/>
      <c r="E1" s="158"/>
      <c r="F1" s="158"/>
      <c r="G1" s="158"/>
      <c r="H1" s="158"/>
      <c r="I1" s="158"/>
      <c r="J1" s="158"/>
      <c r="K1" s="158"/>
      <c r="L1" s="158"/>
      <c r="M1" s="158"/>
      <c r="N1" s="156"/>
      <c r="Q1" s="159"/>
      <c r="R1" s="159"/>
      <c r="S1" s="159"/>
      <c r="T1" s="159"/>
      <c r="U1" s="159"/>
      <c r="V1" s="159"/>
      <c r="W1" s="159"/>
      <c r="X1" s="159"/>
      <c r="Y1" s="159"/>
      <c r="Z1" s="159"/>
    </row>
    <row r="2" spans="1:26" ht="24.0" customHeight="1">
      <c r="A2" s="156"/>
      <c r="B2" s="160" t="s">
        <v>1</v>
      </c>
      <c r="C2" s="158"/>
      <c r="D2" s="158"/>
      <c r="E2" s="158"/>
      <c r="F2" s="158"/>
      <c r="G2" s="158"/>
      <c r="H2" s="158"/>
      <c r="I2" s="158"/>
      <c r="J2" s="158"/>
      <c r="K2" s="158"/>
      <c r="L2" s="158"/>
      <c r="M2" s="158"/>
      <c r="N2" s="156"/>
      <c r="Q2" s="159"/>
      <c r="R2" s="159"/>
      <c r="S2" s="159"/>
      <c r="T2" s="159"/>
      <c r="U2" s="159"/>
      <c r="V2" s="159"/>
      <c r="W2" s="159"/>
      <c r="X2" s="159"/>
      <c r="Y2" s="159"/>
      <c r="Z2" s="159"/>
    </row>
    <row r="3" spans="1:26" ht="22.0" customHeight="1">
      <c r="A3" s="156"/>
      <c r="B3" s="161" t="s">
        <v>2</v>
      </c>
      <c r="C3" s="158"/>
      <c r="D3" s="158"/>
      <c r="E3" s="158"/>
      <c r="F3" s="158"/>
      <c r="G3" s="158"/>
      <c r="H3" s="158"/>
      <c r="I3" s="158"/>
      <c r="J3" s="158"/>
      <c r="K3" s="158"/>
      <c r="L3" s="158"/>
      <c r="M3" s="158"/>
      <c r="N3" s="156"/>
      <c r="Q3" s="159"/>
      <c r="R3" s="159"/>
      <c r="S3" s="159"/>
      <c r="T3" s="159"/>
      <c r="U3" s="159"/>
      <c r="V3" s="159"/>
      <c r="W3" s="159"/>
      <c r="X3" s="159"/>
      <c r="Y3" s="159"/>
      <c r="Z3" s="159"/>
    </row>
    <row r="4" spans="1:26" ht="20" customHeight="1">
      <c r="A4" s="156"/>
      <c r="B4" s="156"/>
      <c r="C4" s="156"/>
      <c r="D4" s="156"/>
      <c r="E4" s="156"/>
      <c r="F4" s="156"/>
      <c r="G4" s="156"/>
      <c r="H4" s="156"/>
      <c r="I4" s="156"/>
      <c r="J4" s="156"/>
      <c r="K4" s="156"/>
      <c r="L4" s="156"/>
      <c r="M4" s="156"/>
      <c r="N4" s="156"/>
      <c r="Q4" s="159"/>
      <c r="R4" s="159"/>
      <c r="S4" s="159"/>
      <c r="T4" s="159"/>
      <c r="U4" s="159"/>
      <c r="V4" s="159"/>
      <c r="W4" s="159"/>
      <c r="X4" s="159"/>
      <c r="Y4" s="159"/>
      <c r="Z4" s="159"/>
    </row>
    <row r="5" spans="1:26" ht="20" customHeight="1">
      <c r="A5" s="156"/>
      <c r="B5" s="162" t="s">
        <v>3</v>
      </c>
      <c r="C5" s="163"/>
      <c r="D5" s="163"/>
      <c r="E5" s="163"/>
      <c r="F5" s="163"/>
      <c r="G5" s="163"/>
      <c r="H5" s="163"/>
      <c r="I5" s="156"/>
      <c r="J5" s="156"/>
      <c r="K5" s="156"/>
      <c r="L5" s="156"/>
      <c r="M5" s="156"/>
      <c r="N5" s="156"/>
      <c r="Q5" s="159"/>
      <c r="R5" s="159"/>
      <c r="S5" s="159"/>
      <c r="T5" s="159"/>
      <c r="U5" s="159"/>
      <c r="V5" s="159"/>
      <c r="W5" s="159"/>
      <c r="X5" s="159"/>
      <c r="Y5" s="159"/>
      <c r="Z5" s="159"/>
    </row>
    <row r="6" spans="1:26" ht="32.0" customHeight="1">
      <c r="A6" s="156"/>
      <c r="B6" s="164" t="s">
        <v>4</v>
      </c>
      <c r="C6" s="165" t="s">
        <v>5</v>
      </c>
      <c r="D6" s="165" t="s">
        <v>6</v>
      </c>
      <c r="E6" s="165" t="s">
        <v>7</v>
      </c>
      <c r="F6" s="165" t="s">
        <v>8</v>
      </c>
      <c r="G6" s="165" t="s">
        <v>9</v>
      </c>
      <c r="H6" s="166" t="s">
        <v>10</v>
      </c>
      <c r="I6" s="156"/>
      <c r="J6" s="156"/>
      <c r="K6" s="156"/>
      <c r="L6" s="156"/>
      <c r="M6" s="156"/>
      <c r="N6" s="156"/>
      <c r="Q6" s="159"/>
      <c r="R6" s="159"/>
      <c r="S6" s="159"/>
      <c r="T6" s="159"/>
      <c r="U6" s="159"/>
      <c r="V6" s="159"/>
      <c r="W6" s="159"/>
      <c r="X6" s="159"/>
      <c r="Y6" s="159"/>
      <c r="Z6" s="159"/>
    </row>
    <row r="7" spans="1:26" ht="42.0" customHeight="1">
      <c r="A7" s="156"/>
      <c r="B7" s="167">
        <f>C7+SUM(J20:J30)</f>
        <v>300000</v>
      </c>
      <c r="C7" s="168">
        <f>G10+SUM('Trade Log'!K2:K1000)</f>
        <v>300000</v>
      </c>
      <c r="D7" s="169">
        <f>IF(G10=0,0,B7/G10-1)</f>
        <v>0</v>
      </c>
      <c r="E7" s="170">
        <f>COUNTA('Trade Log'!C2:C1000)</f>
        <v>0</v>
      </c>
      <c r="F7" s="170">
        <f>G13-E7</f>
        <v>200</v>
      </c>
      <c r="G7" s="168">
        <f>SUM('Trade Log'!I2:I1000)</f>
        <v>0</v>
      </c>
      <c r="H7" s="171">
        <f>SUMPRODUCT(('Trade Log'!C2:C1000&lt;&gt;"")*(COUNTIF($B$20:$B$30,'Trade Log'!C2:C1000)=0))</f>
        <v>0</v>
      </c>
      <c r="I7" s="156"/>
      <c r="J7" s="156"/>
      <c r="K7" s="156"/>
      <c r="L7" s="156"/>
      <c r="M7" s="156"/>
      <c r="N7" s="156"/>
      <c r="Q7" s="159"/>
      <c r="R7" s="159"/>
      <c r="S7" s="159"/>
      <c r="T7" s="159"/>
      <c r="U7" s="159"/>
      <c r="V7" s="159"/>
      <c r="W7" s="159"/>
      <c r="X7" s="159"/>
      <c r="Y7" s="159"/>
      <c r="Z7" s="159"/>
    </row>
    <row r="8" spans="1:26" ht="20" customHeight="1">
      <c r="A8" s="156"/>
      <c r="B8" s="156"/>
      <c r="C8" s="156"/>
      <c r="D8" s="156"/>
      <c r="E8" s="156"/>
      <c r="F8" s="156"/>
      <c r="G8" s="156"/>
      <c r="H8" s="156"/>
      <c r="I8" s="156"/>
      <c r="J8" s="156"/>
      <c r="K8" s="156"/>
      <c r="L8" s="156"/>
      <c r="M8" s="156"/>
      <c r="N8" s="156"/>
      <c r="Q8" s="159"/>
      <c r="R8" s="159"/>
      <c r="S8" s="159"/>
      <c r="T8" s="159"/>
      <c r="U8" s="159"/>
      <c r="V8" s="159"/>
      <c r="W8" s="159"/>
      <c r="X8" s="159"/>
      <c r="Y8" s="159"/>
      <c r="Z8" s="159"/>
    </row>
    <row r="9" spans="1:26" ht="20" customHeight="1">
      <c r="A9" s="156"/>
      <c r="B9" s="162" t="s">
        <v>11</v>
      </c>
      <c r="C9" s="163"/>
      <c r="D9" s="163"/>
      <c r="E9" s="156"/>
      <c r="F9" s="162" t="s">
        <v>12</v>
      </c>
      <c r="G9" s="163"/>
      <c r="H9" s="163"/>
      <c r="I9" s="156"/>
      <c r="J9" s="156"/>
      <c r="K9" s="156"/>
      <c r="L9" s="156"/>
      <c r="M9" s="156"/>
      <c r="N9" s="156"/>
      <c r="Q9" s="159"/>
      <c r="R9" s="159"/>
      <c r="S9" s="159"/>
      <c r="T9" s="159"/>
      <c r="U9" s="159"/>
      <c r="V9" s="159"/>
      <c r="W9" s="159"/>
      <c r="X9" s="159"/>
      <c r="Y9" s="159"/>
      <c r="Z9" s="159"/>
    </row>
    <row r="10" spans="1:26" ht="20" customHeight="1">
      <c r="A10" s="156"/>
      <c r="B10" s="172" t="s">
        <v>13</v>
      </c>
      <c r="C10" s="173">
        <v>0.65900000000000003</v>
      </c>
      <c r="D10" s="174" t="s">
        <v>14</v>
      </c>
      <c r="E10" s="158"/>
      <c r="F10" s="175" t="s">
        <v>15</v>
      </c>
      <c r="G10" s="176">
        <v>300000</v>
      </c>
      <c r="H10" s="174" t="s">
        <v>16</v>
      </c>
      <c r="I10" s="156"/>
      <c r="J10" s="156"/>
      <c r="K10" s="156"/>
      <c r="L10" s="156"/>
      <c r="M10" s="156"/>
      <c r="N10" s="156"/>
      <c r="Q10" s="159"/>
      <c r="R10" s="159"/>
      <c r="S10" s="159"/>
      <c r="T10" s="159"/>
      <c r="U10" s="159"/>
      <c r="V10" s="159"/>
      <c r="W10" s="159"/>
      <c r="X10" s="159"/>
      <c r="Y10" s="159"/>
      <c r="Z10" s="159"/>
    </row>
    <row r="11" spans="1:26" ht="20" customHeight="1">
      <c r="A11" s="156"/>
      <c r="B11" s="177" t="s">
        <v>17</v>
      </c>
      <c r="C11" s="178">
        <v>0.24299999999999999</v>
      </c>
      <c r="D11" s="179" t="s">
        <v>18</v>
      </c>
      <c r="E11" s="158"/>
      <c r="F11" s="180" t="s">
        <v>19</v>
      </c>
      <c r="G11" s="181">
        <v>25</v>
      </c>
      <c r="H11" s="179" t="s">
        <v>16</v>
      </c>
      <c r="I11" s="156"/>
      <c r="J11" s="156"/>
      <c r="K11" s="156"/>
      <c r="L11" s="156"/>
      <c r="M11" s="156"/>
      <c r="N11" s="156"/>
      <c r="Q11" s="159"/>
      <c r="R11" s="159"/>
      <c r="S11" s="159"/>
      <c r="T11" s="159"/>
      <c r="U11" s="159"/>
      <c r="V11" s="159"/>
      <c r="W11" s="159"/>
      <c r="X11" s="159"/>
      <c r="Y11" s="159"/>
      <c r="Z11" s="159"/>
    </row>
    <row r="12" spans="1:26" ht="20" customHeight="1">
      <c r="A12" s="156"/>
      <c r="B12" s="177" t="s">
        <v>20</v>
      </c>
      <c r="C12" s="178">
        <v>8.6999999999999994E-2</v>
      </c>
      <c r="D12" s="179" t="s">
        <v>14</v>
      </c>
      <c r="E12" s="158"/>
      <c r="F12" s="180" t="s">
        <v>21</v>
      </c>
      <c r="G12" s="181">
        <v>10</v>
      </c>
      <c r="H12" s="179" t="s">
        <v>16</v>
      </c>
      <c r="I12" s="156"/>
      <c r="J12" s="156"/>
      <c r="K12" s="156"/>
      <c r="L12" s="156"/>
      <c r="M12" s="156"/>
      <c r="N12" s="156"/>
      <c r="Q12" s="159"/>
      <c r="R12" s="159"/>
      <c r="S12" s="159"/>
      <c r="T12" s="159"/>
      <c r="U12" s="159"/>
      <c r="V12" s="159"/>
      <c r="W12" s="159"/>
      <c r="X12" s="159"/>
      <c r="Y12" s="159"/>
      <c r="Z12" s="159"/>
    </row>
    <row r="13" spans="1:26" ht="20" customHeight="1">
      <c r="A13" s="156"/>
      <c r="B13" s="177" t="s">
        <v>5</v>
      </c>
      <c r="C13" s="182">
        <f>1-SUM(C10:C12)</f>
        <v>1.100000000000001E-2</v>
      </c>
      <c r="D13" s="179" t="s">
        <v>22</v>
      </c>
      <c r="E13" s="158"/>
      <c r="F13" s="180" t="s">
        <v>23</v>
      </c>
      <c r="G13" s="183">
        <v>200</v>
      </c>
      <c r="H13" s="179" t="s">
        <v>16</v>
      </c>
      <c r="I13" s="156"/>
      <c r="J13" s="156"/>
      <c r="K13" s="156"/>
      <c r="L13" s="156"/>
      <c r="M13" s="156"/>
      <c r="N13" s="156"/>
      <c r="Q13" s="159"/>
      <c r="R13" s="159"/>
      <c r="S13" s="159"/>
      <c r="T13" s="159"/>
      <c r="U13" s="159"/>
      <c r="V13" s="159"/>
      <c r="W13" s="159"/>
      <c r="X13" s="159"/>
      <c r="Y13" s="159"/>
      <c r="Z13" s="159"/>
    </row>
    <row r="14" spans="1:26" ht="20" customHeight="1">
      <c r="A14" s="156"/>
      <c r="B14" s="156"/>
      <c r="C14" s="156"/>
      <c r="D14" s="156"/>
      <c r="E14" s="156"/>
      <c r="F14" s="180" t="s">
        <v>24</v>
      </c>
      <c r="G14" s="184">
        <v>2</v>
      </c>
      <c r="H14" s="179" t="s">
        <v>25</v>
      </c>
      <c r="I14" s="156"/>
      <c r="J14" s="156"/>
      <c r="K14" s="156"/>
      <c r="L14" s="156"/>
      <c r="M14" s="156"/>
      <c r="N14" s="156"/>
      <c r="Q14" s="159"/>
      <c r="R14" s="159"/>
      <c r="S14" s="159"/>
      <c r="T14" s="159"/>
      <c r="U14" s="159"/>
      <c r="V14" s="159"/>
      <c r="W14" s="159"/>
      <c r="X14" s="159"/>
      <c r="Y14" s="159"/>
      <c r="Z14" s="159"/>
    </row>
    <row r="15" spans="1:26" ht="20" customHeight="1">
      <c r="A15" s="156"/>
      <c r="B15" s="156"/>
      <c r="C15" s="156"/>
      <c r="D15" s="156"/>
      <c r="E15" s="156"/>
      <c r="F15" s="180" t="s">
        <v>26</v>
      </c>
      <c r="G15" s="183">
        <v>300</v>
      </c>
      <c r="H15" s="179" t="s">
        <v>27</v>
      </c>
      <c r="I15" s="156"/>
      <c r="J15" s="156"/>
      <c r="K15" s="156"/>
      <c r="L15" s="156"/>
      <c r="M15" s="156"/>
      <c r="N15" s="156"/>
      <c r="Q15" s="159"/>
      <c r="R15" s="159"/>
      <c r="S15" s="159"/>
      <c r="T15" s="159"/>
      <c r="U15" s="159"/>
      <c r="V15" s="159"/>
      <c r="W15" s="159"/>
      <c r="X15" s="159"/>
      <c r="Y15" s="159"/>
      <c r="Z15" s="159"/>
    </row>
    <row r="16" spans="1:26" ht="20" customHeight="1">
      <c r="A16" s="156"/>
      <c r="B16" s="156"/>
      <c r="C16" s="156"/>
      <c r="D16" s="156"/>
      <c r="E16" s="156"/>
      <c r="F16" s="180" t="s">
        <v>28</v>
      </c>
      <c r="G16" s="185" t="s">
        <v>29</v>
      </c>
      <c r="H16" s="179" t="s">
        <v>30</v>
      </c>
      <c r="I16" s="156"/>
      <c r="J16" s="156"/>
      <c r="K16" s="156"/>
      <c r="L16" s="156"/>
      <c r="M16" s="156"/>
      <c r="N16" s="156"/>
      <c r="Q16" s="159"/>
      <c r="R16" s="159"/>
      <c r="S16" s="159"/>
      <c r="T16" s="159"/>
      <c r="U16" s="159"/>
      <c r="V16" s="159"/>
      <c r="W16" s="159"/>
      <c r="X16" s="159"/>
      <c r="Y16" s="159"/>
      <c r="Z16" s="159"/>
    </row>
    <row r="17" spans="1:26" ht="20" customHeight="1">
      <c r="A17" s="156"/>
      <c r="B17" s="156"/>
      <c r="C17" s="156"/>
      <c r="D17" s="156"/>
      <c r="E17" s="156"/>
      <c r="F17" s="156"/>
      <c r="G17" s="156"/>
      <c r="H17" s="156"/>
      <c r="I17" s="156"/>
      <c r="J17" s="156"/>
      <c r="K17" s="156"/>
      <c r="L17" s="156"/>
      <c r="M17" s="156"/>
      <c r="N17" s="156"/>
      <c r="Q17" s="159"/>
      <c r="R17" s="159"/>
      <c r="S17" s="159"/>
      <c r="T17" s="159"/>
      <c r="U17" s="159"/>
      <c r="V17" s="159"/>
      <c r="W17" s="159"/>
      <c r="X17" s="159"/>
      <c r="Y17" s="159"/>
      <c r="Z17" s="159"/>
    </row>
    <row r="18" spans="1:26" ht="20" customHeight="1">
      <c r="A18" s="156"/>
      <c r="B18" s="162" t="s">
        <v>31</v>
      </c>
      <c r="C18" s="163"/>
      <c r="D18" s="163"/>
      <c r="E18" s="163"/>
      <c r="F18" s="163"/>
      <c r="G18" s="163"/>
      <c r="H18" s="163"/>
      <c r="I18" s="163"/>
      <c r="J18" s="163"/>
      <c r="K18" s="163"/>
      <c r="L18" s="163"/>
      <c r="M18" s="163"/>
      <c r="N18" s="156"/>
      <c r="Q18" s="159"/>
      <c r="R18" s="159"/>
      <c r="S18" s="159"/>
      <c r="T18" s="159"/>
      <c r="U18" s="159"/>
      <c r="V18" s="159"/>
      <c r="W18" s="159"/>
      <c r="X18" s="159"/>
      <c r="Y18" s="159"/>
      <c r="Z18" s="159"/>
    </row>
    <row r="19" spans="1:26" ht="38.0" customHeight="1">
      <c r="A19" s="156"/>
      <c r="B19" s="186" t="s">
        <v>32</v>
      </c>
      <c r="C19" s="186" t="s">
        <v>33</v>
      </c>
      <c r="D19" s="186" t="s">
        <v>34</v>
      </c>
      <c r="E19" s="187" t="s">
        <v>35</v>
      </c>
      <c r="F19" s="187" t="s">
        <v>36</v>
      </c>
      <c r="G19" s="187" t="s">
        <v>37</v>
      </c>
      <c r="H19" s="187" t="s">
        <v>38</v>
      </c>
      <c r="I19" s="187" t="s">
        <v>39</v>
      </c>
      <c r="J19" s="187" t="s">
        <v>40</v>
      </c>
      <c r="K19" s="187" t="s">
        <v>41</v>
      </c>
      <c r="L19" s="187" t="s">
        <v>42</v>
      </c>
      <c r="M19" s="186" t="s">
        <v>43</v>
      </c>
      <c r="N19" s="156"/>
      <c r="Q19" s="159"/>
      <c r="R19" s="159"/>
      <c r="S19" s="159"/>
      <c r="T19" s="159"/>
      <c r="U19" s="159"/>
      <c r="V19" s="159"/>
      <c r="W19" s="159"/>
      <c r="X19" s="159"/>
      <c r="Y19" s="159"/>
      <c r="Z19" s="159"/>
    </row>
    <row r="20" spans="1:26" ht="20" customHeight="1">
      <c r="A20" s="156"/>
      <c r="B20" s="188" t="s">
        <v>44</v>
      </c>
      <c r="C20" s="189" t="s">
        <v>45</v>
      </c>
      <c r="D20" s="190" t="s">
        <v>46</v>
      </c>
      <c r="E20" s="191">
        <f>$C$10*'Book L'!$J$14/'Book L'!$J$24+$C$11</f>
        <v>0.32529464228585037</v>
      </c>
      <c r="F20" s="192">
        <f t="shared" ref="F20:F31" si="0">E20*$G$10</f>
        <v>97588.392685755112</v>
      </c>
      <c r="G20" s="193">
        <v>21.75</v>
      </c>
      <c r="H20" s="194">
        <f t="shared" ref="H20:H30" si="1">IF(G20=0,0,IF(D20="Treasury bond",FLOOR(F20/G20*100,1000),FLOOR(F20/G20,1)))</f>
        <v>4486</v>
      </c>
      <c r="I20" s="194">
        <f>SUMIFS('Trade Log'!$F:$F,'Trade Log'!$C:$C,$B20,'Trade Log'!$E:$E,"Buy")-SUMIFS('Trade Log'!$F:$F,'Trade Log'!$C:$C,$B20,'Trade Log'!$E:$E,"Sell")</f>
        <v>0</v>
      </c>
      <c r="J20" s="192">
        <f t="shared" ref="J20:J30" si="2">IF(D20="Treasury bond",I20*G20/100,I20*G20)</f>
        <v>0</v>
      </c>
      <c r="K20" s="191">
        <f t="shared" ref="K20:K31" si="3">IF($B$7=0,0,J20/$B$7)</f>
        <v>0</v>
      </c>
      <c r="L20" s="191">
        <f t="shared" ref="L20:L31" si="4">K20-E20</f>
        <v>-0.32529464228585037</v>
      </c>
      <c r="M20" s="195" t="s">
        <v>47</v>
      </c>
      <c r="N20" s="156"/>
      <c r="Q20" s="159"/>
      <c r="R20" s="159"/>
      <c r="S20" s="159"/>
      <c r="T20" s="159"/>
      <c r="U20" s="159"/>
      <c r="V20" s="159"/>
      <c r="W20" s="159"/>
      <c r="X20" s="159"/>
      <c r="Y20" s="159"/>
      <c r="Z20" s="159"/>
    </row>
    <row r="21" spans="1:26" ht="20" customHeight="1">
      <c r="A21" s="156"/>
      <c r="B21" s="196" t="s">
        <v>48</v>
      </c>
      <c r="C21" s="197" t="s">
        <v>49</v>
      </c>
      <c r="D21" s="198" t="s">
        <v>46</v>
      </c>
      <c r="E21" s="199">
        <f>$C$10*'Book L'!$J$15/'Book L'!$J$24</f>
        <v>7.8000253886047602E-2</v>
      </c>
      <c r="F21" s="200">
        <f t="shared" si="0"/>
        <v>23400.07616581428</v>
      </c>
      <c r="G21" s="201">
        <v>23</v>
      </c>
      <c r="H21" s="202">
        <f t="shared" si="1"/>
        <v>1017</v>
      </c>
      <c r="I21" s="202">
        <f>SUMIFS('Trade Log'!$F:$F,'Trade Log'!$C:$C,$B21,'Trade Log'!$E:$E,"Buy")-SUMIFS('Trade Log'!$F:$F,'Trade Log'!$C:$C,$B21,'Trade Log'!$E:$E,"Sell")</f>
        <v>0</v>
      </c>
      <c r="J21" s="200">
        <f t="shared" si="2"/>
        <v>0</v>
      </c>
      <c r="K21" s="199">
        <f t="shared" si="3"/>
        <v>0</v>
      </c>
      <c r="L21" s="199">
        <f t="shared" si="4"/>
        <v>-7.8000253886047602E-2</v>
      </c>
      <c r="M21" s="203" t="s">
        <v>47</v>
      </c>
      <c r="N21" s="156"/>
      <c r="Q21" s="159"/>
      <c r="R21" s="159"/>
      <c r="S21" s="159"/>
      <c r="T21" s="159"/>
      <c r="U21" s="159"/>
      <c r="V21" s="159"/>
      <c r="W21" s="159"/>
      <c r="X21" s="159"/>
      <c r="Y21" s="159"/>
      <c r="Z21" s="159"/>
    </row>
    <row r="22" spans="1:26" ht="20" customHeight="1">
      <c r="A22" s="156"/>
      <c r="B22" s="196" t="s">
        <v>50</v>
      </c>
      <c r="C22" s="197" t="s">
        <v>51</v>
      </c>
      <c r="D22" s="198" t="s">
        <v>46</v>
      </c>
      <c r="E22" s="199">
        <f>$C$10*'Book L'!$J$16/'Book L'!$J$24</f>
        <v>7.3929074469020611E-2</v>
      </c>
      <c r="F22" s="200">
        <f t="shared" si="0"/>
        <v>22178.722340706183</v>
      </c>
      <c r="G22" s="201">
        <v>24.09</v>
      </c>
      <c r="H22" s="202">
        <f t="shared" si="1"/>
        <v>920</v>
      </c>
      <c r="I22" s="202">
        <f>SUMIFS('Trade Log'!$F:$F,'Trade Log'!$C:$C,$B22,'Trade Log'!$E:$E,"Buy")-SUMIFS('Trade Log'!$F:$F,'Trade Log'!$C:$C,$B22,'Trade Log'!$E:$E,"Sell")</f>
        <v>0</v>
      </c>
      <c r="J22" s="200">
        <f t="shared" si="2"/>
        <v>0</v>
      </c>
      <c r="K22" s="199">
        <f t="shared" si="3"/>
        <v>0</v>
      </c>
      <c r="L22" s="199">
        <f t="shared" si="4"/>
        <v>-7.3929074469020611E-2</v>
      </c>
      <c r="M22" s="203" t="s">
        <v>47</v>
      </c>
      <c r="N22" s="156"/>
      <c r="Q22" s="159"/>
      <c r="R22" s="159"/>
      <c r="S22" s="159"/>
      <c r="T22" s="159"/>
      <c r="U22" s="159"/>
      <c r="V22" s="159"/>
      <c r="W22" s="159"/>
      <c r="X22" s="159"/>
      <c r="Y22" s="159"/>
      <c r="Z22" s="159"/>
    </row>
    <row r="23" spans="1:26" ht="20" customHeight="1">
      <c r="A23" s="156"/>
      <c r="B23" s="196" t="s">
        <v>52</v>
      </c>
      <c r="C23" s="197" t="s">
        <v>53</v>
      </c>
      <c r="D23" s="198" t="s">
        <v>46</v>
      </c>
      <c r="E23" s="199">
        <f>$C$10*'Book L'!$J$17/'Book L'!$J$24</f>
        <v>7.0001078913052933E-2</v>
      </c>
      <c r="F23" s="200">
        <f t="shared" si="0"/>
        <v>21000.323673915878</v>
      </c>
      <c r="G23" s="201">
        <v>23.68</v>
      </c>
      <c r="H23" s="202">
        <f t="shared" si="1"/>
        <v>886</v>
      </c>
      <c r="I23" s="202">
        <f>SUMIFS('Trade Log'!$F:$F,'Trade Log'!$C:$C,$B23,'Trade Log'!$E:$E,"Buy")-SUMIFS('Trade Log'!$F:$F,'Trade Log'!$C:$C,$B23,'Trade Log'!$E:$E,"Sell")</f>
        <v>0</v>
      </c>
      <c r="J23" s="200">
        <f t="shared" si="2"/>
        <v>0</v>
      </c>
      <c r="K23" s="199">
        <f t="shared" si="3"/>
        <v>0</v>
      </c>
      <c r="L23" s="199">
        <f t="shared" si="4"/>
        <v>-7.0001078913052933E-2</v>
      </c>
      <c r="M23" s="203" t="s">
        <v>47</v>
      </c>
      <c r="N23" s="156"/>
      <c r="Q23" s="159"/>
      <c r="R23" s="159"/>
      <c r="S23" s="159"/>
      <c r="T23" s="159"/>
      <c r="U23" s="159"/>
      <c r="V23" s="159"/>
      <c r="W23" s="159"/>
      <c r="X23" s="159"/>
      <c r="Y23" s="159"/>
      <c r="Z23" s="159"/>
    </row>
    <row r="24" spans="1:26" ht="20" customHeight="1">
      <c r="A24" s="156"/>
      <c r="B24" s="196" t="s">
        <v>54</v>
      </c>
      <c r="C24" s="197" t="s">
        <v>55</v>
      </c>
      <c r="D24" s="198" t="s">
        <v>46</v>
      </c>
      <c r="E24" s="199">
        <f>$C$10*'Book L'!$J$18/'Book L'!$J$24</f>
        <v>6.6176784550315476E-2</v>
      </c>
      <c r="F24" s="200">
        <f t="shared" si="0"/>
        <v>19853.035365094642</v>
      </c>
      <c r="G24" s="201">
        <v>23.46</v>
      </c>
      <c r="H24" s="202">
        <f t="shared" si="1"/>
        <v>846</v>
      </c>
      <c r="I24" s="202">
        <f>SUMIFS('Trade Log'!$F:$F,'Trade Log'!$C:$C,$B24,'Trade Log'!$E:$E,"Buy")-SUMIFS('Trade Log'!$F:$F,'Trade Log'!$C:$C,$B24,'Trade Log'!$E:$E,"Sell")</f>
        <v>0</v>
      </c>
      <c r="J24" s="200">
        <f t="shared" si="2"/>
        <v>0</v>
      </c>
      <c r="K24" s="199">
        <f t="shared" si="3"/>
        <v>0</v>
      </c>
      <c r="L24" s="199">
        <f t="shared" si="4"/>
        <v>-6.6176784550315476E-2</v>
      </c>
      <c r="M24" s="203" t="s">
        <v>47</v>
      </c>
      <c r="N24" s="156"/>
      <c r="Q24" s="159"/>
      <c r="R24" s="159"/>
      <c r="S24" s="159"/>
      <c r="T24" s="159"/>
      <c r="U24" s="159"/>
      <c r="V24" s="159"/>
      <c r="W24" s="159"/>
      <c r="X24" s="159"/>
      <c r="Y24" s="159"/>
      <c r="Z24" s="159"/>
    </row>
    <row r="25" spans="1:26" ht="20" customHeight="1">
      <c r="A25" s="156"/>
      <c r="B25" s="196" t="s">
        <v>56</v>
      </c>
      <c r="C25" s="197" t="s">
        <v>57</v>
      </c>
      <c r="D25" s="198" t="s">
        <v>58</v>
      </c>
      <c r="E25" s="199">
        <f>$C$10*'Book L'!$J$19/'Book L'!$J$24</f>
        <v>6.6098179992889833E-2</v>
      </c>
      <c r="F25" s="200">
        <f t="shared" si="0"/>
        <v>19829.453997866949</v>
      </c>
      <c r="G25" s="204">
        <f>'Book L'!G19+'Book L'!H19</f>
        <v>97.712000000000003</v>
      </c>
      <c r="H25" s="202">
        <f t="shared" si="1"/>
        <v>20000</v>
      </c>
      <c r="I25" s="202">
        <f>SUMIFS('Trade Log'!$F:$F,'Trade Log'!$C:$C,$B25,'Trade Log'!$E:$E,"Buy")-SUMIFS('Trade Log'!$F:$F,'Trade Log'!$C:$C,$B25,'Trade Log'!$E:$E,"Sell")</f>
        <v>0</v>
      </c>
      <c r="J25" s="200">
        <f t="shared" si="2"/>
        <v>0</v>
      </c>
      <c r="K25" s="199">
        <f t="shared" si="3"/>
        <v>0</v>
      </c>
      <c r="L25" s="199">
        <f t="shared" si="4"/>
        <v>-6.6098179992889833E-2</v>
      </c>
      <c r="M25" s="203" t="s">
        <v>59</v>
      </c>
      <c r="N25" s="156"/>
      <c r="Q25" s="159"/>
      <c r="R25" s="159"/>
      <c r="S25" s="159"/>
      <c r="T25" s="159"/>
      <c r="U25" s="159"/>
      <c r="V25" s="159"/>
      <c r="W25" s="159"/>
      <c r="X25" s="159"/>
      <c r="Y25" s="159"/>
      <c r="Z25" s="159"/>
    </row>
    <row r="26" spans="1:26" ht="20" customHeight="1">
      <c r="A26" s="156"/>
      <c r="B26" s="196" t="s">
        <v>60</v>
      </c>
      <c r="C26" s="197" t="s">
        <v>61</v>
      </c>
      <c r="D26" s="198" t="s">
        <v>58</v>
      </c>
      <c r="E26" s="199">
        <f>$C$10*'Book L'!$J$20/'Book L'!$J$24</f>
        <v>6.199791283086023E-2</v>
      </c>
      <c r="F26" s="200">
        <f t="shared" si="0"/>
        <v>18599.373849258071</v>
      </c>
      <c r="G26" s="204">
        <f>'Book L'!G20+'Book L'!H20</f>
        <v>94.811000000000007</v>
      </c>
      <c r="H26" s="202">
        <f t="shared" si="1"/>
        <v>19000</v>
      </c>
      <c r="I26" s="202">
        <f>SUMIFS('Trade Log'!$F:$F,'Trade Log'!$C:$C,$B26,'Trade Log'!$E:$E,"Buy")-SUMIFS('Trade Log'!$F:$F,'Trade Log'!$C:$C,$B26,'Trade Log'!$E:$E,"Sell")</f>
        <v>0</v>
      </c>
      <c r="J26" s="200">
        <f t="shared" si="2"/>
        <v>0</v>
      </c>
      <c r="K26" s="199">
        <f t="shared" si="3"/>
        <v>0</v>
      </c>
      <c r="L26" s="199">
        <f t="shared" si="4"/>
        <v>-6.199791283086023E-2</v>
      </c>
      <c r="M26" s="203" t="s">
        <v>62</v>
      </c>
      <c r="N26" s="156"/>
      <c r="Q26" s="159"/>
      <c r="R26" s="159"/>
      <c r="S26" s="159"/>
      <c r="T26" s="159"/>
      <c r="U26" s="159"/>
      <c r="V26" s="159"/>
      <c r="W26" s="159"/>
      <c r="X26" s="159"/>
      <c r="Y26" s="159"/>
      <c r="Z26" s="159"/>
    </row>
    <row r="27" spans="1:26" ht="20" customHeight="1">
      <c r="A27" s="156"/>
      <c r="B27" s="196" t="s">
        <v>63</v>
      </c>
      <c r="C27" s="197" t="s">
        <v>64</v>
      </c>
      <c r="D27" s="198" t="s">
        <v>58</v>
      </c>
      <c r="E27" s="199">
        <f>$C$10*'Book L'!$J$21/'Book L'!$J$24</f>
        <v>5.6600760665865786E-2</v>
      </c>
      <c r="F27" s="200">
        <f t="shared" si="0"/>
        <v>16980.228199759735</v>
      </c>
      <c r="G27" s="204">
        <f>'Book L'!G21+'Book L'!H21</f>
        <v>92.968999999999994</v>
      </c>
      <c r="H27" s="202">
        <f t="shared" si="1"/>
        <v>18000</v>
      </c>
      <c r="I27" s="202">
        <f>SUMIFS('Trade Log'!$F:$F,'Trade Log'!$C:$C,$B27,'Trade Log'!$E:$E,"Buy")-SUMIFS('Trade Log'!$F:$F,'Trade Log'!$C:$C,$B27,'Trade Log'!$E:$E,"Sell")</f>
        <v>0</v>
      </c>
      <c r="J27" s="200">
        <f t="shared" si="2"/>
        <v>0</v>
      </c>
      <c r="K27" s="199">
        <f t="shared" si="3"/>
        <v>0</v>
      </c>
      <c r="L27" s="199">
        <f t="shared" si="4"/>
        <v>-5.6600760665865786E-2</v>
      </c>
      <c r="M27" s="203" t="s">
        <v>65</v>
      </c>
      <c r="N27" s="156"/>
      <c r="Q27" s="159"/>
      <c r="R27" s="159"/>
      <c r="S27" s="159"/>
      <c r="T27" s="159"/>
      <c r="U27" s="159"/>
      <c r="V27" s="159"/>
      <c r="W27" s="159"/>
      <c r="X27" s="159"/>
      <c r="Y27" s="159"/>
      <c r="Z27" s="159"/>
    </row>
    <row r="28" spans="1:26" ht="20" customHeight="1">
      <c r="A28" s="156"/>
      <c r="B28" s="196" t="s">
        <v>66</v>
      </c>
      <c r="C28" s="197" t="s">
        <v>67</v>
      </c>
      <c r="D28" s="198" t="s">
        <v>58</v>
      </c>
      <c r="E28" s="199">
        <f>$C$10*'Book L'!$J$22/'Book L'!$J$24</f>
        <v>5.3208205104341363E-2</v>
      </c>
      <c r="F28" s="200">
        <f t="shared" si="0"/>
        <v>15962.46153130241</v>
      </c>
      <c r="G28" s="204">
        <f>'Book L'!G22+'Book L'!H22</f>
        <v>90.75800000000001</v>
      </c>
      <c r="H28" s="202">
        <f t="shared" si="1"/>
        <v>17000</v>
      </c>
      <c r="I28" s="202">
        <f>SUMIFS('Trade Log'!$F:$F,'Trade Log'!$C:$C,$B28,'Trade Log'!$E:$E,"Buy")-SUMIFS('Trade Log'!$F:$F,'Trade Log'!$C:$C,$B28,'Trade Log'!$E:$E,"Sell")</f>
        <v>0</v>
      </c>
      <c r="J28" s="200">
        <f t="shared" si="2"/>
        <v>0</v>
      </c>
      <c r="K28" s="199">
        <f t="shared" si="3"/>
        <v>0</v>
      </c>
      <c r="L28" s="199">
        <f t="shared" si="4"/>
        <v>-5.3208205104341363E-2</v>
      </c>
      <c r="M28" s="203" t="s">
        <v>68</v>
      </c>
      <c r="N28" s="156"/>
      <c r="Q28" s="159"/>
      <c r="R28" s="159"/>
      <c r="S28" s="159"/>
      <c r="T28" s="159"/>
      <c r="U28" s="159"/>
      <c r="V28" s="159"/>
      <c r="W28" s="159"/>
      <c r="X28" s="159"/>
      <c r="Y28" s="159"/>
      <c r="Z28" s="159"/>
    </row>
    <row r="29" spans="1:26" ht="20" customHeight="1">
      <c r="A29" s="156"/>
      <c r="B29" s="196" t="s">
        <v>69</v>
      </c>
      <c r="C29" s="197" t="s">
        <v>70</v>
      </c>
      <c r="D29" s="198" t="s">
        <v>58</v>
      </c>
      <c r="E29" s="199">
        <f>$C$10*'Book L'!$J$23/'Book L'!$J$24</f>
        <v>5.0693107301755906E-2</v>
      </c>
      <c r="F29" s="200">
        <f t="shared" si="0"/>
        <v>15207.932190526772</v>
      </c>
      <c r="G29" s="204">
        <f>'Book L'!G23+'Book L'!H23</f>
        <v>77.52300000000001</v>
      </c>
      <c r="H29" s="202">
        <f t="shared" si="1"/>
        <v>19000</v>
      </c>
      <c r="I29" s="202">
        <f>SUMIFS('Trade Log'!$F:$F,'Trade Log'!$C:$C,$B29,'Trade Log'!$E:$E,"Buy")-SUMIFS('Trade Log'!$F:$F,'Trade Log'!$C:$C,$B29,'Trade Log'!$E:$E,"Sell")</f>
        <v>0</v>
      </c>
      <c r="J29" s="200">
        <f t="shared" si="2"/>
        <v>0</v>
      </c>
      <c r="K29" s="199">
        <f t="shared" si="3"/>
        <v>0</v>
      </c>
      <c r="L29" s="199">
        <f t="shared" si="4"/>
        <v>-5.0693107301755906E-2</v>
      </c>
      <c r="M29" s="203" t="s">
        <v>71</v>
      </c>
      <c r="N29" s="156"/>
      <c r="Q29" s="159"/>
      <c r="R29" s="159"/>
      <c r="S29" s="159"/>
      <c r="T29" s="159"/>
      <c r="U29" s="159"/>
      <c r="V29" s="159"/>
      <c r="W29" s="159"/>
      <c r="X29" s="159"/>
      <c r="Y29" s="159"/>
      <c r="Z29" s="159"/>
    </row>
    <row r="30" spans="1:26" ht="20" customHeight="1">
      <c r="A30" s="156"/>
      <c r="B30" s="205" t="s">
        <v>72</v>
      </c>
      <c r="C30" s="206" t="s">
        <v>73</v>
      </c>
      <c r="D30" s="207" t="s">
        <v>46</v>
      </c>
      <c r="E30" s="208">
        <f>$C$12</f>
        <v>8.6999999999999994E-2</v>
      </c>
      <c r="F30" s="209">
        <f t="shared" si="0"/>
        <v>26100</v>
      </c>
      <c r="G30" s="210">
        <v>158.44999999999999</v>
      </c>
      <c r="H30" s="211">
        <f t="shared" si="1"/>
        <v>164</v>
      </c>
      <c r="I30" s="211">
        <f>SUMIFS('Trade Log'!$F:$F,'Trade Log'!$C:$C,$B30,'Trade Log'!$E:$E,"Buy")-SUMIFS('Trade Log'!$F:$F,'Trade Log'!$C:$C,$B30,'Trade Log'!$E:$E,"Sell")</f>
        <v>0</v>
      </c>
      <c r="J30" s="209">
        <f t="shared" si="2"/>
        <v>0</v>
      </c>
      <c r="K30" s="208">
        <f t="shared" si="3"/>
        <v>0</v>
      </c>
      <c r="L30" s="208">
        <f t="shared" si="4"/>
        <v>-8.6999999999999994E-2</v>
      </c>
      <c r="M30" s="212" t="s">
        <v>47</v>
      </c>
      <c r="N30" s="156"/>
      <c r="Q30" s="159"/>
      <c r="R30" s="159"/>
      <c r="S30" s="159"/>
      <c r="T30" s="159"/>
      <c r="U30" s="159"/>
      <c r="V30" s="159"/>
      <c r="W30" s="159"/>
      <c r="X30" s="159"/>
      <c r="Y30" s="159"/>
      <c r="Z30" s="159"/>
    </row>
    <row r="31" spans="1:26" ht="20" customHeight="1">
      <c r="A31" s="156"/>
      <c r="B31" s="213" t="s">
        <v>5</v>
      </c>
      <c r="C31" s="214" t="s">
        <v>74</v>
      </c>
      <c r="D31" s="215" t="s">
        <v>5</v>
      </c>
      <c r="E31" s="216">
        <f>$C$13</f>
        <v>1.100000000000001E-2</v>
      </c>
      <c r="F31" s="217">
        <f t="shared" si="0"/>
        <v>3300.0000000000027</v>
      </c>
      <c r="G31" s="218"/>
      <c r="H31" s="218"/>
      <c r="I31" s="218"/>
      <c r="J31" s="217">
        <f>$C$7</f>
        <v>300000</v>
      </c>
      <c r="K31" s="216">
        <f t="shared" si="3"/>
        <v>1</v>
      </c>
      <c r="L31" s="216">
        <f t="shared" si="4"/>
        <v>0.98899999999999999</v>
      </c>
      <c r="M31" s="219" t="s">
        <v>75</v>
      </c>
      <c r="N31" s="156"/>
      <c r="Q31" s="159"/>
      <c r="R31" s="159"/>
      <c r="S31" s="159"/>
      <c r="T31" s="159"/>
      <c r="U31" s="159"/>
      <c r="V31" s="159"/>
      <c r="W31" s="159"/>
      <c r="X31" s="159"/>
      <c r="Y31" s="159"/>
      <c r="Z31" s="159"/>
    </row>
    <row r="32" spans="1:26" ht="20" customHeight="1">
      <c r="A32" s="156"/>
      <c r="B32" s="220" t="s">
        <v>76</v>
      </c>
      <c r="C32" s="220"/>
      <c r="D32" s="220"/>
      <c r="E32" s="221">
        <f>SUM(E20:E31)</f>
        <v>1</v>
      </c>
      <c r="F32" s="222">
        <f>SUM(F20:F31)</f>
        <v>300000</v>
      </c>
      <c r="G32" s="223"/>
      <c r="H32" s="223"/>
      <c r="I32" s="223"/>
      <c r="J32" s="222">
        <f>SUM(J20:J31)</f>
        <v>300000</v>
      </c>
      <c r="K32" s="221">
        <f>SUM(K20:K31)</f>
        <v>1</v>
      </c>
      <c r="L32" s="221"/>
      <c r="M32" s="220"/>
      <c r="N32" s="156"/>
      <c r="Q32" s="159"/>
      <c r="R32" s="159"/>
      <c r="S32" s="159"/>
      <c r="T32" s="159"/>
      <c r="U32" s="159"/>
      <c r="V32" s="159"/>
      <c r="W32" s="159"/>
      <c r="X32" s="159"/>
      <c r="Y32" s="159"/>
      <c r="Z32" s="159"/>
    </row>
    <row r="33" spans="1:26" ht="20" customHeight="1">
      <c r="A33" s="156"/>
      <c r="B33" s="156"/>
      <c r="C33" s="156"/>
      <c r="D33" s="156"/>
      <c r="E33" s="156"/>
      <c r="F33" s="156"/>
      <c r="G33" s="156"/>
      <c r="H33" s="156"/>
      <c r="I33" s="156"/>
      <c r="J33" s="156"/>
      <c r="K33" s="156"/>
      <c r="L33" s="156"/>
      <c r="M33" s="156"/>
      <c r="N33" s="156"/>
      <c r="Q33" s="159"/>
      <c r="R33" s="159"/>
      <c r="S33" s="159"/>
      <c r="T33" s="159"/>
      <c r="U33" s="159"/>
      <c r="V33" s="159"/>
      <c r="W33" s="159"/>
      <c r="X33" s="159"/>
      <c r="Y33" s="159"/>
      <c r="Z33" s="159"/>
    </row>
    <row r="34" spans="1:26" ht="20" customHeight="1">
      <c r="A34" s="156"/>
      <c r="B34" s="156"/>
      <c r="C34" s="156"/>
      <c r="D34" s="156"/>
      <c r="E34" s="156"/>
      <c r="F34" s="156"/>
      <c r="G34" s="156"/>
      <c r="H34" s="156"/>
      <c r="I34" s="156"/>
      <c r="J34" s="156"/>
      <c r="K34" s="156"/>
      <c r="L34" s="156"/>
      <c r="M34" s="156"/>
      <c r="N34" s="156"/>
      <c r="Q34" s="159"/>
      <c r="R34" s="159"/>
      <c r="S34" s="159"/>
      <c r="T34" s="159"/>
      <c r="U34" s="159"/>
      <c r="V34" s="159"/>
      <c r="W34" s="159"/>
      <c r="X34" s="159"/>
      <c r="Y34" s="159"/>
      <c r="Z34" s="159"/>
    </row>
    <row r="35" spans="1:26" ht="20" customHeight="1">
      <c r="A35" s="156"/>
      <c r="B35" s="156"/>
      <c r="C35" s="156"/>
      <c r="D35" s="156"/>
      <c r="E35" s="156"/>
      <c r="F35" s="156"/>
      <c r="G35" s="156"/>
      <c r="H35" s="156"/>
      <c r="I35" s="156"/>
      <c r="J35" s="156"/>
      <c r="K35" s="156"/>
      <c r="L35" s="156"/>
      <c r="M35" s="156"/>
      <c r="N35" s="156"/>
      <c r="Q35" s="159"/>
      <c r="R35" s="159"/>
      <c r="S35" s="159"/>
      <c r="T35" s="159"/>
      <c r="U35" s="159"/>
      <c r="V35" s="159"/>
      <c r="W35" s="159"/>
      <c r="X35" s="159"/>
      <c r="Y35" s="159"/>
      <c r="Z35" s="159"/>
    </row>
    <row r="36" spans="1:26" ht="20" customHeight="1">
      <c r="A36" s="156"/>
      <c r="B36" s="156"/>
      <c r="C36" s="156"/>
      <c r="D36" s="156"/>
      <c r="E36" s="156"/>
      <c r="F36" s="156"/>
      <c r="G36" s="156"/>
      <c r="H36" s="156"/>
      <c r="I36" s="156"/>
      <c r="J36" s="156"/>
      <c r="K36" s="156"/>
      <c r="L36" s="156"/>
      <c r="M36" s="156"/>
      <c r="N36" s="156"/>
      <c r="Q36" s="159"/>
      <c r="R36" s="159"/>
      <c r="S36" s="159"/>
      <c r="T36" s="159"/>
      <c r="U36" s="159"/>
      <c r="V36" s="159"/>
      <c r="W36" s="159"/>
      <c r="X36" s="159"/>
      <c r="Y36" s="159"/>
      <c r="Z36" s="159"/>
    </row>
    <row r="37" spans="1:26" ht="20" customHeight="1">
      <c r="A37" s="156"/>
      <c r="B37" s="156"/>
      <c r="C37" s="156"/>
      <c r="D37" s="156"/>
      <c r="E37" s="156"/>
      <c r="F37" s="156"/>
      <c r="G37" s="156"/>
      <c r="H37" s="156"/>
      <c r="I37" s="156"/>
      <c r="J37" s="156"/>
      <c r="K37" s="156"/>
      <c r="L37" s="156"/>
      <c r="M37" s="156"/>
      <c r="N37" s="156"/>
      <c r="Q37" s="159"/>
      <c r="R37" s="159"/>
      <c r="S37" s="159"/>
      <c r="T37" s="159"/>
      <c r="U37" s="159"/>
      <c r="V37" s="159"/>
      <c r="W37" s="159"/>
      <c r="X37" s="159"/>
      <c r="Y37" s="159"/>
      <c r="Z37" s="159"/>
    </row>
    <row r="38" spans="1:26" ht="20" customHeight="1">
      <c r="A38" s="156"/>
      <c r="B38" s="156"/>
      <c r="C38" s="156"/>
      <c r="D38" s="156"/>
      <c r="E38" s="156"/>
      <c r="F38" s="156"/>
      <c r="G38" s="156"/>
      <c r="H38" s="156"/>
      <c r="I38" s="156"/>
      <c r="J38" s="156"/>
      <c r="K38" s="156"/>
      <c r="L38" s="156"/>
      <c r="M38" s="156"/>
      <c r="N38" s="156"/>
      <c r="Q38" s="159"/>
      <c r="R38" s="159"/>
      <c r="S38" s="159"/>
      <c r="T38" s="159"/>
      <c r="U38" s="159"/>
      <c r="V38" s="159"/>
      <c r="W38" s="159"/>
      <c r="X38" s="159"/>
      <c r="Y38" s="159"/>
      <c r="Z38" s="159"/>
    </row>
    <row r="39" spans="1:26" ht="20" customHeight="1">
      <c r="A39" s="156"/>
      <c r="B39" s="156"/>
      <c r="C39" s="156"/>
      <c r="D39" s="156"/>
      <c r="E39" s="156"/>
      <c r="F39" s="156"/>
      <c r="G39" s="156"/>
      <c r="H39" s="156"/>
      <c r="I39" s="156"/>
      <c r="J39" s="156"/>
      <c r="K39" s="156"/>
      <c r="L39" s="156"/>
      <c r="M39" s="156"/>
      <c r="N39" s="156"/>
      <c r="Q39" s="159"/>
      <c r="R39" s="159"/>
      <c r="S39" s="159"/>
      <c r="T39" s="159"/>
      <c r="U39" s="159"/>
      <c r="V39" s="159"/>
      <c r="W39" s="159"/>
      <c r="X39" s="159"/>
      <c r="Y39" s="159"/>
      <c r="Z39" s="159"/>
    </row>
    <row r="40" spans="1:26" ht="20" customHeight="1">
      <c r="A40" s="156"/>
      <c r="B40" s="156"/>
      <c r="C40" s="156"/>
      <c r="D40" s="156"/>
      <c r="E40" s="156"/>
      <c r="F40" s="156"/>
      <c r="G40" s="156"/>
      <c r="H40" s="156"/>
      <c r="I40" s="156"/>
      <c r="J40" s="156"/>
      <c r="K40" s="156"/>
      <c r="L40" s="156"/>
      <c r="M40" s="156"/>
      <c r="N40" s="156"/>
      <c r="Q40" s="159"/>
      <c r="R40" s="159"/>
      <c r="S40" s="159"/>
      <c r="T40" s="159"/>
      <c r="U40" s="159"/>
      <c r="V40" s="159"/>
      <c r="W40" s="159"/>
      <c r="X40" s="159"/>
      <c r="Y40" s="159"/>
      <c r="Z40" s="159"/>
    </row>
    <row r="41" spans="1:26" ht="20" customHeight="1">
      <c r="Q41" s="159"/>
      <c r="R41" s="159"/>
      <c r="S41" s="159"/>
      <c r="T41" s="159"/>
      <c r="U41" s="159"/>
      <c r="V41" s="159"/>
      <c r="W41" s="159"/>
      <c r="X41" s="159"/>
      <c r="Y41" s="159"/>
      <c r="Z41" s="159"/>
    </row>
    <row r="42" spans="1:26" ht="20" customHeight="1">
      <c r="Q42" s="159"/>
      <c r="R42" s="159"/>
      <c r="S42" s="159"/>
      <c r="T42" s="159"/>
      <c r="U42" s="159"/>
      <c r="V42" s="159"/>
      <c r="W42" s="159"/>
      <c r="X42" s="159"/>
      <c r="Y42" s="159"/>
      <c r="Z42" s="159"/>
    </row>
    <row r="43" spans="1:26" ht="20" customHeight="1">
      <c r="Q43" s="159"/>
      <c r="R43" s="159"/>
      <c r="S43" s="159"/>
      <c r="T43" s="159"/>
      <c r="U43" s="159"/>
      <c r="V43" s="159"/>
      <c r="W43" s="159"/>
      <c r="X43" s="159"/>
      <c r="Y43" s="159"/>
      <c r="Z43" s="159"/>
    </row>
    <row r="44" spans="1:26" ht="20" customHeight="1">
      <c r="Q44" s="159"/>
      <c r="R44" s="159"/>
      <c r="S44" s="159"/>
      <c r="T44" s="159"/>
      <c r="U44" s="159"/>
      <c r="V44" s="159"/>
      <c r="W44" s="159"/>
      <c r="X44" s="159"/>
      <c r="Y44" s="159"/>
      <c r="Z44" s="159"/>
    </row>
    <row r="45" spans="1:26" ht="20" customHeight="1">
      <c r="Q45" s="159"/>
      <c r="R45" s="159"/>
      <c r="S45" s="159"/>
      <c r="T45" s="159"/>
      <c r="U45" s="159"/>
      <c r="V45" s="159"/>
      <c r="W45" s="159"/>
      <c r="X45" s="159"/>
      <c r="Y45" s="159"/>
      <c r="Z45" s="159"/>
    </row>
    <row r="46" spans="1:26" ht="20" customHeight="1">
      <c r="Q46" s="159"/>
      <c r="R46" s="159"/>
      <c r="S46" s="159"/>
      <c r="T46" s="159"/>
      <c r="U46" s="159"/>
      <c r="V46" s="159"/>
      <c r="W46" s="159"/>
      <c r="X46" s="159"/>
      <c r="Y46" s="159"/>
      <c r="Z46" s="159"/>
    </row>
    <row r="47" spans="1:26" ht="20" customHeight="1">
      <c r="Q47" s="159"/>
      <c r="R47" s="159"/>
      <c r="S47" s="159"/>
      <c r="T47" s="159"/>
      <c r="U47" s="159"/>
      <c r="V47" s="159"/>
      <c r="W47" s="159"/>
      <c r="X47" s="159"/>
      <c r="Y47" s="159"/>
      <c r="Z47" s="159"/>
    </row>
    <row r="48" spans="1:26" ht="20" customHeight="1">
      <c r="Q48" s="159"/>
      <c r="R48" s="159"/>
      <c r="S48" s="159"/>
      <c r="T48" s="159"/>
      <c r="U48" s="159"/>
      <c r="V48" s="159"/>
      <c r="W48" s="159"/>
      <c r="X48" s="159"/>
      <c r="Y48" s="159"/>
      <c r="Z48" s="159"/>
    </row>
    <row r="49" spans="1:26" ht="20" customHeight="1">
      <c r="Q49" s="159"/>
      <c r="R49" s="159"/>
      <c r="S49" s="159"/>
      <c r="T49" s="159"/>
      <c r="U49" s="159"/>
      <c r="V49" s="159"/>
      <c r="W49" s="159"/>
      <c r="X49" s="159"/>
      <c r="Y49" s="159"/>
      <c r="Z49" s="159"/>
    </row>
    <row r="50" spans="1:26" ht="20" customHeight="1">
      <c r="Q50" s="159"/>
      <c r="R50" s="159"/>
      <c r="S50" s="159"/>
      <c r="T50" s="159"/>
      <c r="U50" s="159"/>
      <c r="V50" s="159"/>
      <c r="W50" s="159"/>
      <c r="X50" s="159"/>
      <c r="Y50" s="159"/>
      <c r="Z50" s="159"/>
    </row>
    <row r="51" spans="1:26" ht="20" customHeight="1">
      <c r="Q51" s="159"/>
      <c r="R51" s="159"/>
      <c r="S51" s="159"/>
      <c r="T51" s="159"/>
      <c r="U51" s="159"/>
      <c r="V51" s="159"/>
      <c r="W51" s="159"/>
      <c r="X51" s="159"/>
      <c r="Y51" s="159"/>
      <c r="Z51" s="159"/>
    </row>
    <row r="52" spans="1:26" ht="20" customHeight="1">
      <c r="Q52" s="159"/>
      <c r="R52" s="159"/>
      <c r="S52" s="159"/>
      <c r="T52" s="159"/>
      <c r="U52" s="159"/>
      <c r="V52" s="159"/>
      <c r="W52" s="159"/>
      <c r="X52" s="159"/>
      <c r="Y52" s="159"/>
      <c r="Z52" s="159"/>
    </row>
    <row r="53" spans="1:26" ht="20" customHeight="1">
      <c r="Q53" s="159"/>
      <c r="R53" s="159"/>
      <c r="S53" s="159"/>
      <c r="T53" s="159"/>
      <c r="U53" s="159"/>
      <c r="V53" s="159"/>
      <c r="W53" s="159"/>
      <c r="X53" s="159"/>
      <c r="Y53" s="159"/>
      <c r="Z53" s="159"/>
    </row>
    <row r="54" spans="1:26" ht="20" customHeight="1">
      <c r="Q54" s="159"/>
      <c r="R54" s="159"/>
      <c r="S54" s="159"/>
      <c r="T54" s="159"/>
      <c r="U54" s="159"/>
      <c r="V54" s="159"/>
      <c r="W54" s="159"/>
      <c r="X54" s="159"/>
      <c r="Y54" s="159"/>
      <c r="Z54" s="159"/>
    </row>
    <row r="55" spans="1:26" ht="20" customHeight="1">
      <c r="Q55" s="159"/>
      <c r="R55" s="159"/>
      <c r="S55" s="159"/>
      <c r="T55" s="159"/>
      <c r="U55" s="159"/>
      <c r="V55" s="159"/>
      <c r="W55" s="159"/>
      <c r="X55" s="159"/>
      <c r="Y55" s="159"/>
      <c r="Z55" s="159"/>
    </row>
    <row r="56" spans="1:26" ht="20" customHeight="1">
      <c r="Q56" s="159"/>
      <c r="R56" s="159"/>
      <c r="S56" s="159"/>
      <c r="T56" s="159"/>
      <c r="U56" s="159"/>
      <c r="V56" s="159"/>
      <c r="W56" s="159"/>
      <c r="X56" s="159"/>
      <c r="Y56" s="159"/>
      <c r="Z56" s="159"/>
    </row>
    <row r="57" spans="1:26" ht="20" customHeight="1">
      <c r="Q57" s="159"/>
      <c r="R57" s="159"/>
      <c r="S57" s="159"/>
      <c r="T57" s="159"/>
      <c r="U57" s="159"/>
      <c r="V57" s="159"/>
      <c r="W57" s="159"/>
      <c r="X57" s="159"/>
      <c r="Y57" s="159"/>
      <c r="Z57" s="159"/>
    </row>
    <row r="58" spans="1:26" ht="20" customHeight="1">
      <c r="Q58" s="159"/>
      <c r="R58" s="159"/>
      <c r="S58" s="159"/>
      <c r="T58" s="159"/>
      <c r="U58" s="159"/>
      <c r="V58" s="159"/>
      <c r="W58" s="159"/>
      <c r="X58" s="159"/>
      <c r="Y58" s="159"/>
      <c r="Z58" s="159"/>
    </row>
    <row r="59" spans="1:26" ht="20" customHeight="1">
      <c r="Q59" s="159"/>
      <c r="R59" s="159"/>
      <c r="S59" s="159"/>
      <c r="T59" s="159"/>
      <c r="U59" s="159"/>
      <c r="V59" s="159"/>
      <c r="W59" s="159"/>
      <c r="X59" s="159"/>
      <c r="Y59" s="159"/>
      <c r="Z59" s="159"/>
    </row>
    <row r="60" spans="1:26" ht="20" customHeight="1">
      <c r="Q60" s="159"/>
      <c r="R60" s="159"/>
      <c r="S60" s="159"/>
      <c r="T60" s="159"/>
      <c r="U60" s="159"/>
      <c r="V60" s="159"/>
      <c r="W60" s="159"/>
      <c r="X60" s="159"/>
      <c r="Y60" s="159"/>
      <c r="Z60" s="159"/>
    </row>
    <row r="61" spans="1:26" ht="20" customHeight="1">
      <c r="A61" s="159"/>
      <c r="B61" s="159"/>
      <c r="C61" s="159"/>
      <c r="D61" s="159"/>
      <c r="E61" s="159"/>
      <c r="F61" s="159"/>
      <c r="G61" s="159"/>
      <c r="H61" s="159"/>
      <c r="I61" s="159"/>
      <c r="J61" s="159"/>
      <c r="K61" s="159"/>
      <c r="L61" s="159"/>
      <c r="M61" s="159"/>
      <c r="N61" s="159"/>
      <c r="O61" s="159"/>
      <c r="P61" s="159"/>
      <c r="Q61" s="159"/>
      <c r="R61" s="159"/>
      <c r="S61" s="159"/>
      <c r="T61" s="159"/>
      <c r="U61" s="159"/>
      <c r="V61" s="159"/>
      <c r="W61" s="159"/>
      <c r="X61" s="159"/>
      <c r="Y61" s="159"/>
      <c r="Z61" s="159"/>
    </row>
    <row r="62" spans="1:26" ht="20" customHeight="1">
      <c r="A62" s="159"/>
      <c r="B62" s="159"/>
      <c r="C62" s="159"/>
      <c r="D62" s="159"/>
      <c r="E62" s="159"/>
      <c r="F62" s="159"/>
      <c r="G62" s="159"/>
      <c r="H62" s="159"/>
      <c r="I62" s="159"/>
      <c r="J62" s="159"/>
      <c r="K62" s="159"/>
      <c r="L62" s="159"/>
      <c r="M62" s="159"/>
      <c r="N62" s="159"/>
      <c r="O62" s="159"/>
      <c r="P62" s="159"/>
      <c r="Q62" s="159"/>
      <c r="R62" s="159"/>
      <c r="S62" s="159"/>
      <c r="T62" s="159"/>
      <c r="U62" s="159"/>
      <c r="V62" s="159"/>
      <c r="W62" s="159"/>
      <c r="X62" s="159"/>
      <c r="Y62" s="159"/>
      <c r="Z62" s="159"/>
    </row>
    <row r="63" spans="1:26" ht="20" customHeight="1">
      <c r="A63" s="159"/>
      <c r="B63" s="159"/>
      <c r="C63" s="159"/>
      <c r="D63" s="159"/>
      <c r="E63" s="159"/>
      <c r="F63" s="159"/>
      <c r="G63" s="159"/>
      <c r="H63" s="159"/>
      <c r="I63" s="159"/>
      <c r="J63" s="159"/>
      <c r="K63" s="159"/>
      <c r="L63" s="159"/>
      <c r="M63" s="159"/>
      <c r="N63" s="159"/>
      <c r="O63" s="159"/>
      <c r="P63" s="159"/>
      <c r="Q63" s="159"/>
      <c r="R63" s="159"/>
      <c r="S63" s="159"/>
      <c r="T63" s="159"/>
      <c r="U63" s="159"/>
      <c r="V63" s="159"/>
      <c r="W63" s="159"/>
      <c r="X63" s="159"/>
      <c r="Y63" s="159"/>
      <c r="Z63" s="159"/>
    </row>
    <row r="64" spans="1:26" ht="20" customHeight="1">
      <c r="A64" s="159"/>
      <c r="B64" s="159"/>
      <c r="C64" s="159"/>
      <c r="D64" s="159"/>
      <c r="E64" s="159"/>
      <c r="F64" s="159"/>
      <c r="G64" s="159"/>
      <c r="H64" s="159"/>
      <c r="I64" s="159"/>
      <c r="J64" s="159"/>
      <c r="K64" s="159"/>
      <c r="L64" s="159"/>
      <c r="M64" s="159"/>
      <c r="N64" s="159"/>
      <c r="O64" s="159"/>
      <c r="P64" s="159"/>
      <c r="Q64" s="159"/>
      <c r="R64" s="159"/>
      <c r="S64" s="159"/>
      <c r="T64" s="159"/>
      <c r="U64" s="159"/>
      <c r="V64" s="159"/>
      <c r="W64" s="159"/>
      <c r="X64" s="159"/>
      <c r="Y64" s="159"/>
      <c r="Z64" s="159"/>
    </row>
    <row r="65" spans="1:26" ht="20" customHeight="1">
      <c r="A65" s="159"/>
      <c r="B65" s="159"/>
      <c r="C65" s="159"/>
      <c r="D65" s="159"/>
      <c r="E65" s="159"/>
      <c r="F65" s="159"/>
      <c r="G65" s="159"/>
      <c r="H65" s="159"/>
      <c r="I65" s="159"/>
      <c r="J65" s="159"/>
      <c r="K65" s="159"/>
      <c r="L65" s="159"/>
      <c r="M65" s="159"/>
      <c r="N65" s="159"/>
      <c r="O65" s="159"/>
      <c r="P65" s="159"/>
      <c r="Q65" s="159"/>
      <c r="R65" s="159"/>
      <c r="S65" s="159"/>
      <c r="T65" s="159"/>
      <c r="U65" s="159"/>
      <c r="V65" s="159"/>
      <c r="W65" s="159"/>
      <c r="X65" s="159"/>
      <c r="Y65" s="159"/>
      <c r="Z65" s="159"/>
    </row>
    <row r="66" spans="1:26" ht="20" customHeight="1">
      <c r="A66" s="159"/>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row>
    <row r="67" spans="1:26" ht="20" customHeight="1">
      <c r="A67" s="159"/>
      <c r="B67" s="159"/>
      <c r="C67" s="159"/>
      <c r="D67" s="159"/>
      <c r="E67" s="159"/>
      <c r="F67" s="159"/>
      <c r="G67" s="159"/>
      <c r="H67" s="159"/>
      <c r="I67" s="159"/>
      <c r="J67" s="159"/>
      <c r="K67" s="159"/>
      <c r="L67" s="159"/>
      <c r="M67" s="159"/>
      <c r="N67" s="159"/>
      <c r="O67" s="159"/>
      <c r="P67" s="159"/>
      <c r="Q67" s="159"/>
      <c r="R67" s="159"/>
      <c r="S67" s="159"/>
      <c r="T67" s="159"/>
      <c r="U67" s="159"/>
      <c r="V67" s="159"/>
      <c r="W67" s="159"/>
      <c r="X67" s="159"/>
      <c r="Y67" s="159"/>
      <c r="Z67" s="159"/>
    </row>
    <row r="68" spans="1:26" ht="20" customHeight="1">
      <c r="A68" s="159"/>
      <c r="B68" s="159"/>
      <c r="C68" s="159"/>
      <c r="D68" s="159"/>
      <c r="E68" s="159"/>
      <c r="F68" s="159"/>
      <c r="G68" s="159"/>
      <c r="H68" s="159"/>
      <c r="I68" s="159"/>
      <c r="J68" s="159"/>
      <c r="K68" s="159"/>
      <c r="L68" s="159"/>
      <c r="M68" s="159"/>
      <c r="N68" s="159"/>
      <c r="O68" s="159"/>
      <c r="P68" s="159"/>
      <c r="Q68" s="159"/>
      <c r="R68" s="159"/>
      <c r="S68" s="159"/>
      <c r="T68" s="159"/>
      <c r="U68" s="159"/>
      <c r="V68" s="159"/>
      <c r="W68" s="159"/>
      <c r="X68" s="159"/>
      <c r="Y68" s="159"/>
      <c r="Z68" s="159"/>
    </row>
    <row r="69" spans="1:26" ht="20" customHeight="1">
      <c r="A69" s="159"/>
      <c r="B69" s="159"/>
      <c r="C69" s="159"/>
      <c r="D69" s="159"/>
      <c r="E69" s="159"/>
      <c r="F69" s="159"/>
      <c r="G69" s="159"/>
      <c r="H69" s="159"/>
      <c r="I69" s="159"/>
      <c r="J69" s="159"/>
      <c r="K69" s="159"/>
      <c r="L69" s="159"/>
      <c r="M69" s="159"/>
      <c r="N69" s="159"/>
      <c r="O69" s="159"/>
      <c r="P69" s="159"/>
      <c r="Q69" s="159"/>
      <c r="R69" s="159"/>
      <c r="S69" s="159"/>
      <c r="T69" s="159"/>
      <c r="U69" s="159"/>
      <c r="V69" s="159"/>
      <c r="W69" s="159"/>
      <c r="X69" s="159"/>
      <c r="Y69" s="159"/>
      <c r="Z69" s="159"/>
    </row>
    <row r="70" spans="1:26" ht="20" customHeight="1">
      <c r="A70" s="159"/>
      <c r="B70" s="159"/>
      <c r="C70" s="159"/>
      <c r="D70" s="159"/>
      <c r="E70" s="159"/>
      <c r="F70" s="159"/>
      <c r="G70" s="159"/>
      <c r="H70" s="159"/>
      <c r="I70" s="159"/>
      <c r="J70" s="159"/>
      <c r="K70" s="159"/>
      <c r="L70" s="159"/>
      <c r="M70" s="159"/>
      <c r="N70" s="159"/>
      <c r="O70" s="159"/>
      <c r="P70" s="159"/>
      <c r="Q70" s="159"/>
      <c r="R70" s="159"/>
      <c r="S70" s="159"/>
      <c r="T70" s="159"/>
      <c r="U70" s="159"/>
      <c r="V70" s="159"/>
      <c r="W70" s="159"/>
      <c r="X70" s="159"/>
      <c r="Y70" s="159"/>
      <c r="Z70" s="159"/>
    </row>
    <row r="71" spans="1:26" ht="20" customHeight="1">
      <c r="A71" s="159"/>
      <c r="B71" s="159"/>
      <c r="C71" s="159"/>
      <c r="D71" s="159"/>
      <c r="E71" s="159"/>
      <c r="F71" s="159"/>
      <c r="G71" s="159"/>
      <c r="H71" s="159"/>
      <c r="I71" s="159"/>
      <c r="J71" s="159"/>
      <c r="K71" s="159"/>
      <c r="L71" s="159"/>
      <c r="M71" s="159"/>
      <c r="N71" s="159"/>
      <c r="O71" s="159"/>
      <c r="P71" s="159"/>
      <c r="Q71" s="159"/>
      <c r="R71" s="159"/>
      <c r="S71" s="159"/>
      <c r="T71" s="159"/>
      <c r="U71" s="159"/>
      <c r="V71" s="159"/>
      <c r="W71" s="159"/>
      <c r="X71" s="159"/>
      <c r="Y71" s="159"/>
      <c r="Z71" s="159"/>
    </row>
    <row r="72" spans="1:26" ht="20" customHeight="1">
      <c r="A72" s="159"/>
      <c r="B72" s="159"/>
      <c r="C72" s="159"/>
      <c r="D72" s="159"/>
      <c r="E72" s="159"/>
      <c r="F72" s="159"/>
      <c r="G72" s="159"/>
      <c r="H72" s="159"/>
      <c r="I72" s="159"/>
      <c r="J72" s="159"/>
      <c r="K72" s="159"/>
      <c r="L72" s="159"/>
      <c r="M72" s="159"/>
      <c r="N72" s="159"/>
      <c r="O72" s="159"/>
      <c r="P72" s="159"/>
      <c r="Q72" s="159"/>
      <c r="R72" s="159"/>
      <c r="S72" s="159"/>
      <c r="T72" s="159"/>
      <c r="U72" s="159"/>
      <c r="V72" s="159"/>
      <c r="W72" s="159"/>
      <c r="X72" s="159"/>
      <c r="Y72" s="159"/>
      <c r="Z72" s="159"/>
    </row>
    <row r="73" spans="1:26" ht="20" customHeight="1">
      <c r="A73" s="159"/>
      <c r="B73" s="159"/>
      <c r="C73" s="159"/>
      <c r="D73" s="159"/>
      <c r="E73" s="159"/>
      <c r="F73" s="159"/>
      <c r="G73" s="159"/>
      <c r="H73" s="159"/>
      <c r="I73" s="159"/>
      <c r="J73" s="159"/>
      <c r="K73" s="159"/>
      <c r="L73" s="159"/>
      <c r="M73" s="159"/>
      <c r="N73" s="159"/>
      <c r="O73" s="159"/>
      <c r="P73" s="159"/>
      <c r="Q73" s="159"/>
      <c r="R73" s="159"/>
      <c r="S73" s="159"/>
      <c r="T73" s="159"/>
      <c r="U73" s="159"/>
      <c r="V73" s="159"/>
      <c r="W73" s="159"/>
      <c r="X73" s="159"/>
      <c r="Y73" s="159"/>
      <c r="Z73" s="159"/>
    </row>
    <row r="74" spans="1:26" ht="20" customHeight="1">
      <c r="A74" s="159"/>
      <c r="B74" s="159"/>
      <c r="C74" s="159"/>
      <c r="D74" s="159"/>
      <c r="E74" s="159"/>
      <c r="F74" s="159"/>
      <c r="G74" s="159"/>
      <c r="H74" s="159"/>
      <c r="I74" s="159"/>
      <c r="J74" s="159"/>
      <c r="K74" s="159"/>
      <c r="L74" s="159"/>
      <c r="M74" s="159"/>
      <c r="N74" s="159"/>
      <c r="O74" s="159"/>
      <c r="P74" s="159"/>
      <c r="Q74" s="159"/>
      <c r="R74" s="159"/>
      <c r="S74" s="159"/>
      <c r="T74" s="159"/>
      <c r="U74" s="159"/>
      <c r="V74" s="159"/>
      <c r="W74" s="159"/>
      <c r="X74" s="159"/>
      <c r="Y74" s="159"/>
      <c r="Z74" s="159"/>
    </row>
    <row r="75" spans="1:26" ht="20" customHeight="1">
      <c r="A75" s="159"/>
      <c r="B75" s="159"/>
      <c r="C75" s="159"/>
      <c r="D75" s="159"/>
      <c r="E75" s="159"/>
      <c r="F75" s="159"/>
      <c r="G75" s="159"/>
      <c r="H75" s="159"/>
      <c r="I75" s="159"/>
      <c r="J75" s="159"/>
      <c r="K75" s="159"/>
      <c r="L75" s="159"/>
      <c r="M75" s="159"/>
      <c r="N75" s="159"/>
      <c r="O75" s="159"/>
      <c r="P75" s="159"/>
      <c r="Q75" s="159"/>
      <c r="R75" s="159"/>
      <c r="S75" s="159"/>
      <c r="T75" s="159"/>
      <c r="U75" s="159"/>
      <c r="V75" s="159"/>
      <c r="W75" s="159"/>
      <c r="X75" s="159"/>
      <c r="Y75" s="159"/>
      <c r="Z75" s="159"/>
    </row>
    <row r="76" spans="1:26" ht="20" customHeight="1">
      <c r="A76" s="159"/>
      <c r="B76" s="159"/>
      <c r="C76" s="159"/>
      <c r="D76" s="159"/>
      <c r="E76" s="159"/>
      <c r="F76" s="159"/>
      <c r="G76" s="159"/>
      <c r="H76" s="159"/>
      <c r="I76" s="159"/>
      <c r="J76" s="159"/>
      <c r="K76" s="159"/>
      <c r="L76" s="159"/>
      <c r="M76" s="159"/>
      <c r="N76" s="159"/>
      <c r="O76" s="159"/>
      <c r="P76" s="159"/>
      <c r="Q76" s="159"/>
      <c r="R76" s="159"/>
      <c r="S76" s="159"/>
      <c r="T76" s="159"/>
      <c r="U76" s="159"/>
      <c r="V76" s="159"/>
      <c r="W76" s="159"/>
      <c r="X76" s="159"/>
      <c r="Y76" s="159"/>
      <c r="Z76" s="159"/>
    </row>
    <row r="77" spans="1:26" ht="20" customHeight="1">
      <c r="A77" s="159"/>
      <c r="B77" s="159"/>
      <c r="C77" s="159"/>
      <c r="D77" s="159"/>
      <c r="E77" s="159"/>
      <c r="F77" s="159"/>
      <c r="G77" s="159"/>
      <c r="H77" s="159"/>
      <c r="I77" s="159"/>
      <c r="J77" s="159"/>
      <c r="K77" s="159"/>
      <c r="L77" s="159"/>
      <c r="M77" s="159"/>
      <c r="N77" s="159"/>
      <c r="O77" s="159"/>
      <c r="P77" s="159"/>
      <c r="Q77" s="159"/>
      <c r="R77" s="159"/>
      <c r="S77" s="159"/>
      <c r="T77" s="159"/>
      <c r="U77" s="159"/>
      <c r="V77" s="159"/>
      <c r="W77" s="159"/>
      <c r="X77" s="159"/>
      <c r="Y77" s="159"/>
      <c r="Z77" s="159"/>
    </row>
    <row r="78" spans="1:26" ht="20" customHeight="1">
      <c r="A78" s="159"/>
      <c r="B78" s="159"/>
      <c r="C78" s="159"/>
      <c r="D78" s="159"/>
      <c r="E78" s="159"/>
      <c r="F78" s="159"/>
      <c r="G78" s="159"/>
      <c r="H78" s="159"/>
      <c r="I78" s="159"/>
      <c r="J78" s="159"/>
      <c r="K78" s="159"/>
      <c r="L78" s="159"/>
      <c r="M78" s="159"/>
      <c r="N78" s="159"/>
      <c r="O78" s="159"/>
      <c r="P78" s="159"/>
      <c r="Q78" s="159"/>
      <c r="R78" s="159"/>
      <c r="S78" s="159"/>
      <c r="T78" s="159"/>
      <c r="U78" s="159"/>
      <c r="V78" s="159"/>
      <c r="W78" s="159"/>
      <c r="X78" s="159"/>
      <c r="Y78" s="159"/>
      <c r="Z78" s="159"/>
    </row>
    <row r="79" spans="1:26" ht="20" customHeight="1">
      <c r="A79" s="159"/>
      <c r="B79" s="159"/>
      <c r="C79" s="159"/>
      <c r="D79" s="159"/>
      <c r="E79" s="159"/>
      <c r="F79" s="159"/>
      <c r="G79" s="159"/>
      <c r="H79" s="159"/>
      <c r="I79" s="159"/>
      <c r="J79" s="159"/>
      <c r="K79" s="159"/>
      <c r="L79" s="159"/>
      <c r="M79" s="159"/>
      <c r="N79" s="159"/>
      <c r="O79" s="159"/>
      <c r="P79" s="159"/>
      <c r="Q79" s="159"/>
      <c r="R79" s="159"/>
      <c r="S79" s="159"/>
      <c r="T79" s="159"/>
      <c r="U79" s="159"/>
      <c r="V79" s="159"/>
      <c r="W79" s="159"/>
      <c r="X79" s="159"/>
      <c r="Y79" s="159"/>
      <c r="Z79" s="159"/>
    </row>
    <row r="80" spans="1:26" ht="20" customHeight="1">
      <c r="A80" s="159"/>
      <c r="B80" s="159"/>
      <c r="C80" s="159"/>
      <c r="D80" s="159"/>
      <c r="E80" s="159"/>
      <c r="F80" s="159"/>
      <c r="G80" s="159"/>
      <c r="H80" s="159"/>
      <c r="I80" s="159"/>
      <c r="J80" s="159"/>
      <c r="K80" s="159"/>
      <c r="L80" s="159"/>
      <c r="M80" s="159"/>
      <c r="N80" s="159"/>
      <c r="O80" s="159"/>
      <c r="P80" s="159"/>
      <c r="Q80" s="159"/>
      <c r="R80" s="159"/>
      <c r="S80" s="159"/>
      <c r="T80" s="159"/>
      <c r="U80" s="159"/>
      <c r="V80" s="159"/>
      <c r="W80" s="159"/>
      <c r="X80" s="159"/>
      <c r="Y80" s="159"/>
      <c r="Z80" s="159"/>
    </row>
    <row r="81" spans="1:26" ht="20" customHeight="1">
      <c r="A81" s="159"/>
      <c r="B81" s="159"/>
      <c r="C81" s="159"/>
      <c r="D81" s="159"/>
      <c r="E81" s="159"/>
      <c r="F81" s="159"/>
      <c r="G81" s="159"/>
      <c r="H81" s="159"/>
      <c r="I81" s="159"/>
      <c r="J81" s="159"/>
      <c r="K81" s="159"/>
      <c r="L81" s="159"/>
      <c r="M81" s="159"/>
      <c r="N81" s="159"/>
      <c r="O81" s="159"/>
      <c r="P81" s="159"/>
      <c r="Q81" s="159"/>
      <c r="R81" s="159"/>
      <c r="S81" s="159"/>
      <c r="T81" s="159"/>
      <c r="U81" s="159"/>
      <c r="V81" s="159"/>
      <c r="W81" s="159"/>
      <c r="X81" s="159"/>
      <c r="Y81" s="159"/>
      <c r="Z81" s="159"/>
    </row>
    <row r="82" spans="1:26" ht="20" customHeight="1">
      <c r="A82" s="159"/>
      <c r="B82" s="159"/>
      <c r="C82" s="159"/>
      <c r="D82" s="159"/>
      <c r="E82" s="159"/>
      <c r="F82" s="159"/>
      <c r="G82" s="159"/>
      <c r="H82" s="159"/>
      <c r="I82" s="159"/>
      <c r="J82" s="159"/>
      <c r="K82" s="159"/>
      <c r="L82" s="159"/>
      <c r="M82" s="159"/>
      <c r="N82" s="159"/>
      <c r="O82" s="159"/>
      <c r="P82" s="159"/>
      <c r="Q82" s="159"/>
      <c r="R82" s="159"/>
      <c r="S82" s="159"/>
      <c r="T82" s="159"/>
      <c r="U82" s="159"/>
      <c r="V82" s="159"/>
      <c r="W82" s="159"/>
      <c r="X82" s="159"/>
      <c r="Y82" s="159"/>
      <c r="Z82" s="159"/>
    </row>
    <row r="83" spans="1:26" ht="20" customHeight="1">
      <c r="A83" s="159"/>
      <c r="B83" s="159"/>
      <c r="C83" s="159"/>
      <c r="D83" s="159"/>
      <c r="E83" s="159"/>
      <c r="F83" s="159"/>
      <c r="G83" s="159"/>
      <c r="H83" s="159"/>
      <c r="I83" s="159"/>
      <c r="J83" s="159"/>
      <c r="K83" s="159"/>
      <c r="L83" s="159"/>
      <c r="M83" s="159"/>
      <c r="N83" s="159"/>
      <c r="O83" s="159"/>
      <c r="P83" s="159"/>
      <c r="Q83" s="159"/>
      <c r="R83" s="159"/>
      <c r="S83" s="159"/>
      <c r="T83" s="159"/>
      <c r="U83" s="159"/>
      <c r="V83" s="159"/>
      <c r="W83" s="159"/>
      <c r="X83" s="159"/>
      <c r="Y83" s="159"/>
      <c r="Z83" s="159"/>
    </row>
    <row r="84" spans="1:26" ht="20" customHeight="1">
      <c r="A84" s="159"/>
      <c r="B84" s="159"/>
      <c r="C84" s="159"/>
      <c r="D84" s="159"/>
      <c r="E84" s="159"/>
      <c r="F84" s="159"/>
      <c r="G84" s="159"/>
      <c r="H84" s="159"/>
      <c r="I84" s="159"/>
      <c r="J84" s="159"/>
      <c r="K84" s="159"/>
      <c r="L84" s="159"/>
      <c r="M84" s="159"/>
      <c r="N84" s="159"/>
      <c r="O84" s="159"/>
      <c r="P84" s="159"/>
      <c r="Q84" s="159"/>
      <c r="R84" s="159"/>
      <c r="S84" s="159"/>
      <c r="T84" s="159"/>
      <c r="U84" s="159"/>
      <c r="V84" s="159"/>
      <c r="W84" s="159"/>
      <c r="X84" s="159"/>
      <c r="Y84" s="159"/>
      <c r="Z84" s="159"/>
    </row>
    <row r="85" spans="1:26" ht="20" customHeight="1">
      <c r="A85" s="159"/>
      <c r="B85" s="159"/>
      <c r="C85" s="159"/>
      <c r="D85" s="159"/>
      <c r="E85" s="159"/>
      <c r="F85" s="159"/>
      <c r="G85" s="159"/>
      <c r="H85" s="159"/>
      <c r="I85" s="159"/>
      <c r="J85" s="159"/>
      <c r="K85" s="159"/>
      <c r="L85" s="159"/>
      <c r="M85" s="159"/>
      <c r="N85" s="159"/>
      <c r="O85" s="159"/>
      <c r="P85" s="159"/>
      <c r="Q85" s="159"/>
      <c r="R85" s="159"/>
      <c r="S85" s="159"/>
      <c r="T85" s="159"/>
      <c r="U85" s="159"/>
      <c r="V85" s="159"/>
      <c r="W85" s="159"/>
      <c r="X85" s="159"/>
      <c r="Y85" s="159"/>
      <c r="Z85" s="159"/>
    </row>
    <row r="86" spans="1:26" ht="20" customHeight="1">
      <c r="A86" s="159"/>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row>
    <row r="87" spans="1:26" ht="20" customHeight="1">
      <c r="A87" s="159"/>
      <c r="B87" s="159"/>
      <c r="C87" s="159"/>
      <c r="D87" s="159"/>
      <c r="E87" s="159"/>
      <c r="F87" s="159"/>
      <c r="G87" s="159"/>
      <c r="H87" s="159"/>
      <c r="I87" s="159"/>
      <c r="J87" s="159"/>
      <c r="K87" s="159"/>
      <c r="L87" s="159"/>
      <c r="M87" s="159"/>
      <c r="N87" s="159"/>
      <c r="O87" s="159"/>
      <c r="P87" s="159"/>
      <c r="Q87" s="159"/>
      <c r="R87" s="159"/>
      <c r="S87" s="159"/>
      <c r="T87" s="159"/>
      <c r="U87" s="159"/>
      <c r="V87" s="159"/>
      <c r="W87" s="159"/>
      <c r="X87" s="159"/>
      <c r="Y87" s="159"/>
      <c r="Z87" s="159"/>
    </row>
    <row r="88" spans="1:26" ht="20" customHeight="1">
      <c r="A88" s="159"/>
      <c r="B88" s="159"/>
      <c r="C88" s="159"/>
      <c r="D88" s="159"/>
      <c r="E88" s="159"/>
      <c r="F88" s="159"/>
      <c r="G88" s="159"/>
      <c r="H88" s="159"/>
      <c r="I88" s="159"/>
      <c r="J88" s="159"/>
      <c r="K88" s="159"/>
      <c r="L88" s="159"/>
      <c r="M88" s="159"/>
      <c r="N88" s="159"/>
      <c r="O88" s="159"/>
      <c r="P88" s="159"/>
      <c r="Q88" s="159"/>
      <c r="R88" s="159"/>
      <c r="S88" s="159"/>
      <c r="T88" s="159"/>
      <c r="U88" s="159"/>
      <c r="V88" s="159"/>
      <c r="W88" s="159"/>
      <c r="X88" s="159"/>
      <c r="Y88" s="159"/>
      <c r="Z88" s="159"/>
    </row>
    <row r="89" spans="1:26" ht="20" customHeight="1">
      <c r="A89" s="159"/>
      <c r="B89" s="159"/>
      <c r="C89" s="159"/>
      <c r="D89" s="159"/>
      <c r="E89" s="159"/>
      <c r="F89" s="159"/>
      <c r="G89" s="159"/>
      <c r="H89" s="159"/>
      <c r="I89" s="159"/>
      <c r="J89" s="159"/>
      <c r="K89" s="159"/>
      <c r="L89" s="159"/>
      <c r="M89" s="159"/>
      <c r="N89" s="159"/>
      <c r="O89" s="159"/>
      <c r="P89" s="159"/>
      <c r="Q89" s="159"/>
      <c r="R89" s="159"/>
      <c r="S89" s="159"/>
      <c r="T89" s="159"/>
      <c r="U89" s="159"/>
      <c r="V89" s="159"/>
      <c r="W89" s="159"/>
      <c r="X89" s="159"/>
      <c r="Y89" s="159"/>
      <c r="Z89" s="159"/>
    </row>
    <row r="90" spans="1:26" ht="20" customHeight="1">
      <c r="A90" s="159"/>
      <c r="B90" s="159"/>
      <c r="C90" s="159"/>
      <c r="D90" s="159"/>
      <c r="E90" s="159"/>
      <c r="F90" s="159"/>
      <c r="G90" s="159"/>
      <c r="H90" s="159"/>
      <c r="I90" s="159"/>
      <c r="J90" s="159"/>
      <c r="K90" s="159"/>
      <c r="L90" s="159"/>
      <c r="M90" s="159"/>
      <c r="N90" s="159"/>
      <c r="O90" s="159"/>
      <c r="P90" s="159"/>
      <c r="Q90" s="159"/>
      <c r="R90" s="159"/>
      <c r="S90" s="159"/>
      <c r="T90" s="159"/>
      <c r="U90" s="159"/>
      <c r="V90" s="159"/>
      <c r="W90" s="159"/>
      <c r="X90" s="159"/>
      <c r="Y90" s="159"/>
      <c r="Z90" s="159"/>
    </row>
    <row r="91" spans="1:26" ht="20" customHeight="1">
      <c r="A91" s="159"/>
      <c r="B91" s="159"/>
      <c r="C91" s="159"/>
      <c r="D91" s="159"/>
      <c r="E91" s="159"/>
      <c r="F91" s="159"/>
      <c r="G91" s="159"/>
      <c r="H91" s="159"/>
      <c r="I91" s="159"/>
      <c r="J91" s="159"/>
      <c r="K91" s="159"/>
      <c r="L91" s="159"/>
      <c r="M91" s="159"/>
      <c r="N91" s="159"/>
      <c r="O91" s="159"/>
      <c r="P91" s="159"/>
      <c r="Q91" s="159"/>
      <c r="R91" s="159"/>
      <c r="S91" s="159"/>
      <c r="T91" s="159"/>
      <c r="U91" s="159"/>
      <c r="V91" s="159"/>
      <c r="W91" s="159"/>
      <c r="X91" s="159"/>
      <c r="Y91" s="159"/>
      <c r="Z91" s="159"/>
    </row>
    <row r="92" spans="1:26" ht="20" customHeight="1">
      <c r="A92" s="159"/>
      <c r="B92" s="159"/>
      <c r="C92" s="159"/>
      <c r="D92" s="159"/>
      <c r="E92" s="159"/>
      <c r="F92" s="159"/>
      <c r="G92" s="159"/>
      <c r="H92" s="159"/>
      <c r="I92" s="159"/>
      <c r="J92" s="159"/>
      <c r="K92" s="159"/>
      <c r="L92" s="159"/>
      <c r="M92" s="159"/>
      <c r="N92" s="159"/>
      <c r="O92" s="159"/>
      <c r="P92" s="159"/>
      <c r="Q92" s="159"/>
      <c r="R92" s="159"/>
      <c r="S92" s="159"/>
      <c r="T92" s="159"/>
      <c r="U92" s="159"/>
      <c r="V92" s="159"/>
      <c r="W92" s="159"/>
      <c r="X92" s="159"/>
      <c r="Y92" s="159"/>
      <c r="Z92" s="159"/>
    </row>
    <row r="93" spans="1:26" ht="20" customHeight="1">
      <c r="A93" s="159"/>
      <c r="B93" s="159"/>
      <c r="C93" s="159"/>
      <c r="D93" s="159"/>
      <c r="E93" s="159"/>
      <c r="F93" s="159"/>
      <c r="G93" s="159"/>
      <c r="H93" s="159"/>
      <c r="I93" s="159"/>
      <c r="J93" s="159"/>
      <c r="K93" s="159"/>
      <c r="L93" s="159"/>
      <c r="M93" s="159"/>
      <c r="N93" s="159"/>
      <c r="O93" s="159"/>
      <c r="P93" s="159"/>
      <c r="Q93" s="159"/>
      <c r="R93" s="159"/>
      <c r="S93" s="159"/>
      <c r="T93" s="159"/>
      <c r="U93" s="159"/>
      <c r="V93" s="159"/>
      <c r="W93" s="159"/>
      <c r="X93" s="159"/>
      <c r="Y93" s="159"/>
      <c r="Z93" s="159"/>
    </row>
    <row r="94" spans="1:26" ht="20" customHeight="1">
      <c r="A94" s="159"/>
      <c r="B94" s="159"/>
      <c r="C94" s="159"/>
      <c r="D94" s="159"/>
      <c r="E94" s="159"/>
      <c r="F94" s="159"/>
      <c r="G94" s="159"/>
      <c r="H94" s="159"/>
      <c r="I94" s="159"/>
      <c r="J94" s="159"/>
      <c r="K94" s="159"/>
      <c r="L94" s="159"/>
      <c r="M94" s="159"/>
      <c r="N94" s="159"/>
      <c r="O94" s="159"/>
      <c r="P94" s="159"/>
      <c r="Q94" s="159"/>
      <c r="R94" s="159"/>
      <c r="S94" s="159"/>
      <c r="T94" s="159"/>
      <c r="U94" s="159"/>
      <c r="V94" s="159"/>
      <c r="W94" s="159"/>
      <c r="X94" s="159"/>
      <c r="Y94" s="159"/>
      <c r="Z94" s="159"/>
    </row>
    <row r="95" spans="1:26" ht="20" customHeight="1">
      <c r="A95" s="159"/>
      <c r="B95" s="159"/>
      <c r="C95" s="159"/>
      <c r="D95" s="159"/>
      <c r="E95" s="159"/>
      <c r="F95" s="159"/>
      <c r="G95" s="159"/>
      <c r="H95" s="159"/>
      <c r="I95" s="159"/>
      <c r="J95" s="159"/>
      <c r="K95" s="159"/>
      <c r="L95" s="159"/>
      <c r="M95" s="159"/>
      <c r="N95" s="159"/>
      <c r="O95" s="159"/>
      <c r="P95" s="159"/>
      <c r="Q95" s="159"/>
      <c r="R95" s="159"/>
      <c r="S95" s="159"/>
      <c r="T95" s="159"/>
      <c r="U95" s="159"/>
      <c r="V95" s="159"/>
      <c r="W95" s="159"/>
      <c r="X95" s="159"/>
      <c r="Y95" s="159"/>
      <c r="Z95" s="159"/>
    </row>
    <row r="96" spans="1:26" ht="20" customHeight="1">
      <c r="A96" s="159"/>
      <c r="B96" s="159"/>
      <c r="C96" s="159"/>
      <c r="D96" s="159"/>
      <c r="E96" s="159"/>
      <c r="F96" s="159"/>
      <c r="G96" s="159"/>
      <c r="H96" s="159"/>
      <c r="I96" s="159"/>
      <c r="J96" s="159"/>
      <c r="K96" s="159"/>
      <c r="L96" s="159"/>
      <c r="M96" s="159"/>
      <c r="N96" s="159"/>
      <c r="O96" s="159"/>
      <c r="P96" s="159"/>
      <c r="Q96" s="159"/>
      <c r="R96" s="159"/>
      <c r="S96" s="159"/>
      <c r="T96" s="159"/>
      <c r="U96" s="159"/>
      <c r="V96" s="159"/>
      <c r="W96" s="159"/>
      <c r="X96" s="159"/>
      <c r="Y96" s="159"/>
      <c r="Z96" s="159"/>
    </row>
    <row r="97" spans="1:26" ht="20" customHeight="1">
      <c r="A97" s="159"/>
      <c r="B97" s="159"/>
      <c r="C97" s="159"/>
      <c r="D97" s="159"/>
      <c r="E97" s="159"/>
      <c r="F97" s="159"/>
      <c r="G97" s="159"/>
      <c r="H97" s="159"/>
      <c r="I97" s="159"/>
      <c r="J97" s="159"/>
      <c r="K97" s="159"/>
      <c r="L97" s="159"/>
      <c r="M97" s="159"/>
      <c r="N97" s="159"/>
      <c r="O97" s="159"/>
      <c r="P97" s="159"/>
      <c r="Q97" s="159"/>
      <c r="R97" s="159"/>
      <c r="S97" s="159"/>
      <c r="T97" s="159"/>
      <c r="U97" s="159"/>
      <c r="V97" s="159"/>
      <c r="W97" s="159"/>
      <c r="X97" s="159"/>
      <c r="Y97" s="159"/>
      <c r="Z97" s="159"/>
    </row>
    <row r="98" spans="1:26" ht="20" customHeight="1">
      <c r="A98" s="159"/>
      <c r="B98" s="159"/>
      <c r="C98" s="159"/>
      <c r="D98" s="159"/>
      <c r="E98" s="159"/>
      <c r="F98" s="159"/>
      <c r="G98" s="159"/>
      <c r="H98" s="159"/>
      <c r="I98" s="159"/>
      <c r="J98" s="159"/>
      <c r="K98" s="159"/>
      <c r="L98" s="159"/>
      <c r="M98" s="159"/>
      <c r="N98" s="159"/>
      <c r="O98" s="159"/>
      <c r="P98" s="159"/>
      <c r="Q98" s="159"/>
      <c r="R98" s="159"/>
      <c r="S98" s="159"/>
      <c r="T98" s="159"/>
      <c r="U98" s="159"/>
      <c r="V98" s="159"/>
      <c r="W98" s="159"/>
      <c r="X98" s="159"/>
      <c r="Y98" s="159"/>
      <c r="Z98" s="159"/>
    </row>
    <row r="99" spans="1:26" ht="20" customHeight="1">
      <c r="A99" s="159"/>
      <c r="B99" s="159"/>
      <c r="C99" s="159"/>
      <c r="D99" s="159"/>
      <c r="E99" s="159"/>
      <c r="F99" s="159"/>
      <c r="G99" s="159"/>
      <c r="H99" s="159"/>
      <c r="I99" s="159"/>
      <c r="J99" s="159"/>
      <c r="K99" s="159"/>
      <c r="L99" s="159"/>
      <c r="M99" s="159"/>
      <c r="N99" s="159"/>
      <c r="O99" s="159"/>
      <c r="P99" s="159"/>
      <c r="Q99" s="159"/>
      <c r="R99" s="159"/>
      <c r="S99" s="159"/>
      <c r="T99" s="159"/>
      <c r="U99" s="159"/>
      <c r="V99" s="159"/>
      <c r="W99" s="159"/>
      <c r="X99" s="159"/>
      <c r="Y99" s="159"/>
      <c r="Z99" s="159"/>
    </row>
    <row r="100" spans="1:26" ht="20" customHeight="1">
      <c r="A100" s="159"/>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row>
    <row r="101" spans="1:26" ht="20" customHeight="1">
      <c r="A101" s="159"/>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c r="X101" s="159"/>
      <c r="Y101" s="159"/>
      <c r="Z101" s="159"/>
    </row>
    <row r="102" spans="1:26" ht="20" customHeight="1">
      <c r="A102" s="159"/>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c r="X102" s="159"/>
      <c r="Y102" s="159"/>
      <c r="Z102" s="159"/>
    </row>
    <row r="103" spans="1:26" ht="20" customHeight="1">
      <c r="A103" s="159"/>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c r="X103" s="159"/>
      <c r="Y103" s="159"/>
      <c r="Z103" s="159"/>
    </row>
    <row r="104" spans="1:26" ht="20" customHeight="1">
      <c r="A104" s="159"/>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c r="X104" s="159"/>
      <c r="Y104" s="159"/>
      <c r="Z104" s="159"/>
    </row>
    <row r="105" spans="1:26" ht="20" customHeight="1">
      <c r="A105" s="159"/>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row>
    <row r="106" spans="1:26" ht="20" customHeight="1">
      <c r="A106" s="159"/>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c r="X106" s="159"/>
      <c r="Y106" s="159"/>
      <c r="Z106" s="159"/>
    </row>
    <row r="107" spans="1:26" ht="20" customHeight="1">
      <c r="A107" s="159"/>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c r="X107" s="159"/>
      <c r="Y107" s="159"/>
      <c r="Z107" s="159"/>
    </row>
    <row r="108" spans="1:26" ht="20" customHeight="1">
      <c r="A108" s="159"/>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c r="X108" s="159"/>
      <c r="Y108" s="159"/>
      <c r="Z108" s="159"/>
    </row>
    <row r="109" spans="1:26" ht="20" customHeight="1">
      <c r="A109" s="159"/>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c r="Z109" s="159"/>
    </row>
    <row r="110" spans="1:26" ht="20" customHeight="1">
      <c r="A110" s="159"/>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c r="X110" s="159"/>
      <c r="Y110" s="159"/>
      <c r="Z110" s="159"/>
    </row>
    <row r="111" spans="1:26" ht="20" customHeight="1">
      <c r="A111" s="159"/>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c r="X111" s="159"/>
      <c r="Y111" s="159"/>
      <c r="Z111" s="159"/>
    </row>
    <row r="112" spans="1:26" ht="20" customHeight="1">
      <c r="A112" s="159"/>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c r="X112" s="159"/>
      <c r="Y112" s="159"/>
      <c r="Z112" s="159"/>
    </row>
    <row r="113" spans="1:26" ht="20" customHeight="1">
      <c r="A113" s="159"/>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c r="X113" s="159"/>
      <c r="Y113" s="159"/>
      <c r="Z113" s="159"/>
    </row>
    <row r="114" spans="1:26" ht="20" customHeight="1">
      <c r="A114" s="159"/>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c r="X114" s="159"/>
      <c r="Y114" s="159"/>
      <c r="Z114" s="159"/>
    </row>
    <row r="115" spans="1:26" ht="20" customHeight="1">
      <c r="A115" s="159"/>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c r="X115" s="159"/>
      <c r="Y115" s="159"/>
      <c r="Z115" s="159"/>
    </row>
    <row r="116" spans="1:26" ht="20" customHeight="1">
      <c r="A116" s="159"/>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c r="X116" s="159"/>
      <c r="Y116" s="159"/>
      <c r="Z116" s="159"/>
    </row>
    <row r="117" spans="1:26" ht="20" customHeight="1">
      <c r="A117" s="159"/>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c r="X117" s="159"/>
      <c r="Y117" s="159"/>
      <c r="Z117" s="159"/>
    </row>
    <row r="118" spans="1:26" ht="20" customHeight="1">
      <c r="A118" s="159"/>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c r="X118" s="159"/>
      <c r="Y118" s="159"/>
      <c r="Z118" s="159"/>
    </row>
    <row r="119" spans="1:26" ht="20" customHeight="1">
      <c r="A119" s="159"/>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row>
    <row r="120" spans="1:26" ht="20" customHeight="1">
      <c r="A120" s="159"/>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row>
    <row r="121" spans="1:26" ht="20" customHeight="1">
      <c r="A121" s="159"/>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c r="X121" s="159"/>
      <c r="Y121" s="159"/>
      <c r="Z121" s="159"/>
    </row>
    <row r="122" spans="1:26" ht="20" customHeight="1">
      <c r="A122" s="159"/>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c r="X122" s="159"/>
      <c r="Y122" s="159"/>
      <c r="Z122" s="159"/>
    </row>
    <row r="123" spans="1:26" ht="20" customHeight="1">
      <c r="A123" s="159"/>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c r="X123" s="159"/>
      <c r="Y123" s="159"/>
      <c r="Z123" s="159"/>
    </row>
    <row r="124" spans="1:26" ht="20" customHeight="1">
      <c r="A124" s="159"/>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c r="X124" s="159"/>
      <c r="Y124" s="159"/>
      <c r="Z124" s="159"/>
    </row>
    <row r="125" spans="1:26" ht="20" customHeight="1">
      <c r="A125" s="159"/>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c r="X125" s="159"/>
      <c r="Y125" s="159"/>
      <c r="Z125" s="159"/>
    </row>
    <row r="126" spans="1:26" ht="20" customHeight="1">
      <c r="A126" s="159"/>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c r="X126" s="159"/>
      <c r="Y126" s="159"/>
      <c r="Z126" s="159"/>
    </row>
    <row r="127" spans="1:26" ht="20" customHeight="1">
      <c r="A127" s="159"/>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c r="X127" s="159"/>
      <c r="Y127" s="159"/>
      <c r="Z127" s="159"/>
    </row>
    <row r="128" spans="1:26" ht="20" customHeight="1">
      <c r="A128" s="159"/>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c r="X128" s="159"/>
      <c r="Y128" s="159"/>
      <c r="Z128" s="159"/>
    </row>
    <row r="129" spans="1:26" ht="20" customHeight="1">
      <c r="A129" s="159"/>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c r="X129" s="159"/>
      <c r="Y129" s="159"/>
      <c r="Z129" s="159"/>
    </row>
    <row r="130" spans="1:26" ht="20" customHeight="1">
      <c r="A130" s="159"/>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c r="X130" s="159"/>
      <c r="Y130" s="159"/>
      <c r="Z130" s="159"/>
    </row>
    <row r="131" spans="1:26" ht="20" customHeight="1">
      <c r="A131" s="159"/>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c r="X131" s="159"/>
      <c r="Y131" s="159"/>
      <c r="Z131" s="159"/>
    </row>
    <row r="132" spans="1:26" ht="20" customHeight="1">
      <c r="A132" s="159"/>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c r="X132" s="159"/>
      <c r="Y132" s="159"/>
      <c r="Z132" s="159"/>
    </row>
    <row r="133" spans="1:26" ht="20" customHeight="1">
      <c r="A133" s="159"/>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c r="X133" s="159"/>
      <c r="Y133" s="159"/>
      <c r="Z133" s="159"/>
    </row>
    <row r="134" spans="1:26" ht="20" customHeight="1">
      <c r="A134" s="159"/>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c r="X134" s="159"/>
      <c r="Y134" s="159"/>
      <c r="Z134" s="159"/>
    </row>
    <row r="135" spans="1:26" ht="20" customHeight="1">
      <c r="A135" s="159"/>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c r="X135" s="159"/>
      <c r="Y135" s="159"/>
      <c r="Z135" s="159"/>
    </row>
    <row r="136" spans="1:26" ht="20" customHeight="1">
      <c r="A136" s="159"/>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c r="X136" s="159"/>
      <c r="Y136" s="159"/>
      <c r="Z136" s="159"/>
    </row>
    <row r="137" spans="1:26" ht="20" customHeight="1">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c r="X137" s="159"/>
      <c r="Y137" s="159"/>
      <c r="Z137" s="159"/>
    </row>
    <row r="138" spans="1:26" ht="20" customHeight="1">
      <c r="A138" s="159"/>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c r="X138" s="159"/>
      <c r="Y138" s="159"/>
      <c r="Z138" s="159"/>
    </row>
    <row r="139" spans="1:26" ht="20" customHeight="1">
      <c r="A139" s="159"/>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c r="X139" s="159"/>
      <c r="Y139" s="159"/>
      <c r="Z139" s="159"/>
    </row>
    <row r="140" spans="1:26" ht="20" customHeight="1">
      <c r="A140" s="159"/>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c r="X140" s="159"/>
      <c r="Y140" s="159"/>
      <c r="Z140" s="159"/>
    </row>
    <row r="141" spans="1:26" ht="20" customHeight="1">
      <c r="A141" s="159"/>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c r="X141" s="159"/>
      <c r="Y141" s="159"/>
      <c r="Z141" s="159"/>
    </row>
    <row r="142" spans="1:26" ht="20" customHeight="1">
      <c r="A142" s="159"/>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c r="X142" s="159"/>
      <c r="Y142" s="159"/>
      <c r="Z142" s="159"/>
    </row>
    <row r="143" spans="1:26" ht="20" customHeight="1">
      <c r="A143" s="159"/>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c r="X143" s="159"/>
      <c r="Y143" s="159"/>
      <c r="Z143" s="159"/>
    </row>
    <row r="144" spans="1:26" ht="20" customHeight="1">
      <c r="A144" s="159"/>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c r="X144" s="159"/>
      <c r="Y144" s="159"/>
      <c r="Z144" s="159"/>
    </row>
    <row r="145" spans="1:26" ht="20" customHeight="1">
      <c r="A145" s="159"/>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c r="X145" s="159"/>
      <c r="Y145" s="159"/>
      <c r="Z145" s="159"/>
    </row>
    <row r="146" spans="1:26" ht="20" customHeight="1">
      <c r="A146" s="159"/>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c r="X146" s="159"/>
      <c r="Y146" s="159"/>
      <c r="Z146" s="159"/>
    </row>
    <row r="147" spans="1:26" ht="20" customHeight="1">
      <c r="A147" s="159"/>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c r="X147" s="159"/>
      <c r="Y147" s="159"/>
      <c r="Z147" s="159"/>
    </row>
    <row r="148" spans="1:26" ht="20" customHeight="1">
      <c r="A148" s="159"/>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c r="X148" s="159"/>
      <c r="Y148" s="159"/>
      <c r="Z148" s="159"/>
    </row>
    <row r="149" spans="1:26" ht="20" customHeight="1">
      <c r="A149" s="159"/>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c r="X149" s="159"/>
      <c r="Y149" s="159"/>
      <c r="Z149" s="159"/>
    </row>
    <row r="150" spans="1:26" ht="20" customHeight="1">
      <c r="A150" s="159"/>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c r="X150" s="159"/>
      <c r="Y150" s="159"/>
      <c r="Z150" s="159"/>
    </row>
    <row r="151" spans="1:26" ht="20" customHeight="1">
      <c r="A151" s="159"/>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c r="X151" s="159"/>
      <c r="Y151" s="159"/>
      <c r="Z151" s="159"/>
    </row>
    <row r="152" spans="1:26" ht="20" customHeight="1">
      <c r="A152" s="159"/>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c r="X152" s="159"/>
      <c r="Y152" s="159"/>
      <c r="Z152" s="159"/>
    </row>
    <row r="153" spans="1:26" ht="20" customHeight="1">
      <c r="A153" s="159"/>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c r="X153" s="159"/>
      <c r="Y153" s="159"/>
      <c r="Z153" s="159"/>
    </row>
    <row r="154" spans="1:26" ht="20" customHeight="1">
      <c r="A154" s="159"/>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c r="X154" s="159"/>
      <c r="Y154" s="159"/>
      <c r="Z154" s="159"/>
    </row>
    <row r="155" spans="1:26" ht="20" customHeight="1">
      <c r="A155" s="159"/>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c r="X155" s="159"/>
      <c r="Y155" s="159"/>
      <c r="Z155" s="159"/>
    </row>
    <row r="156" spans="1:26" ht="20" customHeight="1">
      <c r="A156" s="159"/>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c r="X156" s="159"/>
      <c r="Y156" s="159"/>
      <c r="Z156" s="159"/>
    </row>
    <row r="157" spans="1:26" ht="20" customHeight="1">
      <c r="A157" s="159"/>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c r="Z157" s="159"/>
    </row>
    <row r="158" spans="1:26" ht="20" customHeight="1">
      <c r="A158" s="159"/>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c r="Z158" s="159"/>
    </row>
    <row r="159" spans="1:26" ht="20" customHeight="1">
      <c r="A159" s="159"/>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c r="X159" s="159"/>
      <c r="Y159" s="159"/>
      <c r="Z159" s="159"/>
    </row>
    <row r="160" spans="1:26" ht="20" customHeight="1">
      <c r="A160" s="159"/>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c r="X160" s="159"/>
      <c r="Y160" s="159"/>
      <c r="Z160" s="159"/>
    </row>
    <row r="161" spans="1:26" ht="20" customHeight="1">
      <c r="A161" s="159"/>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c r="X161" s="159"/>
      <c r="Y161" s="159"/>
      <c r="Z161" s="159"/>
    </row>
    <row r="162" spans="1:26" ht="20" customHeight="1">
      <c r="A162" s="159"/>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c r="X162" s="159"/>
      <c r="Y162" s="159"/>
      <c r="Z162" s="159"/>
    </row>
    <row r="163" spans="1:26" ht="20" customHeight="1">
      <c r="A163" s="159"/>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c r="X163" s="159"/>
      <c r="Y163" s="159"/>
      <c r="Z163" s="159"/>
    </row>
    <row r="164" spans="1:26" ht="20" customHeight="1">
      <c r="A164" s="159"/>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c r="X164" s="159"/>
      <c r="Y164" s="159"/>
      <c r="Z164" s="159"/>
    </row>
    <row r="165" spans="1:26" ht="20" customHeight="1">
      <c r="A165" s="159"/>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c r="X165" s="159"/>
      <c r="Y165" s="159"/>
      <c r="Z165" s="159"/>
    </row>
    <row r="166" spans="1:26" ht="20" customHeight="1">
      <c r="A166" s="159"/>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c r="X166" s="159"/>
      <c r="Y166" s="159"/>
      <c r="Z166" s="159"/>
    </row>
    <row r="167" spans="1:26" ht="20" customHeight="1">
      <c r="A167" s="159"/>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c r="X167" s="159"/>
      <c r="Y167" s="159"/>
      <c r="Z167" s="159"/>
    </row>
    <row r="168" spans="1:26" ht="20" customHeight="1">
      <c r="A168" s="159"/>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c r="X168" s="159"/>
      <c r="Y168" s="159"/>
      <c r="Z168" s="159"/>
    </row>
    <row r="169" spans="1:26" ht="20" customHeight="1">
      <c r="A169" s="159"/>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c r="X169" s="159"/>
      <c r="Y169" s="159"/>
      <c r="Z169" s="159"/>
    </row>
    <row r="170" spans="1:26" ht="20" customHeight="1">
      <c r="A170" s="159"/>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c r="X170" s="159"/>
      <c r="Y170" s="159"/>
      <c r="Z170" s="159"/>
    </row>
    <row r="171" spans="1:26" ht="20" customHeight="1">
      <c r="A171" s="159"/>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c r="X171" s="159"/>
      <c r="Y171" s="159"/>
      <c r="Z171" s="159"/>
    </row>
    <row r="172" spans="1:26" ht="20" customHeight="1">
      <c r="A172" s="159"/>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c r="X172" s="159"/>
      <c r="Y172" s="159"/>
      <c r="Z172" s="159"/>
    </row>
    <row r="173" spans="1:26" ht="20" customHeight="1">
      <c r="A173" s="159"/>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row>
    <row r="174" spans="1:26" ht="20" customHeight="1">
      <c r="A174" s="159"/>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c r="Z174" s="159"/>
    </row>
    <row r="175" spans="1:26" ht="20" customHeight="1">
      <c r="A175" s="159"/>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c r="X175" s="159"/>
      <c r="Y175" s="159"/>
      <c r="Z175" s="159"/>
    </row>
    <row r="176" spans="1:26" ht="20" customHeight="1">
      <c r="A176" s="159"/>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c r="X176" s="159"/>
      <c r="Y176" s="159"/>
      <c r="Z176" s="159"/>
    </row>
    <row r="177" spans="1:26" ht="20" customHeight="1">
      <c r="A177" s="159"/>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c r="X177" s="159"/>
      <c r="Y177" s="159"/>
      <c r="Z177" s="159"/>
    </row>
    <row r="178" spans="1:26" ht="20" customHeight="1">
      <c r="A178" s="159"/>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c r="X178" s="159"/>
      <c r="Y178" s="159"/>
      <c r="Z178" s="159"/>
    </row>
    <row r="179" spans="1:26" ht="20" customHeight="1">
      <c r="A179" s="159"/>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c r="X179" s="159"/>
      <c r="Y179" s="159"/>
      <c r="Z179" s="159"/>
    </row>
    <row r="180" spans="1:26" ht="20" customHeight="1">
      <c r="A180" s="159"/>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c r="X180" s="159"/>
      <c r="Y180" s="159"/>
      <c r="Z180" s="159"/>
    </row>
    <row r="181" spans="1:26" ht="20" customHeight="1">
      <c r="A181" s="159"/>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c r="X181" s="159"/>
      <c r="Y181" s="159"/>
      <c r="Z181" s="159"/>
    </row>
    <row r="182" spans="1:26" ht="20" customHeight="1">
      <c r="A182" s="159"/>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c r="X182" s="159"/>
      <c r="Y182" s="159"/>
      <c r="Z182" s="159"/>
    </row>
    <row r="183" spans="1:26" ht="20" customHeight="1">
      <c r="A183" s="159"/>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c r="X183" s="159"/>
      <c r="Y183" s="159"/>
      <c r="Z183" s="159"/>
    </row>
    <row r="184" spans="1:26" ht="20" customHeight="1">
      <c r="A184" s="159"/>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c r="X184" s="159"/>
      <c r="Y184" s="159"/>
      <c r="Z184" s="159"/>
    </row>
    <row r="185" spans="1:26" ht="20" customHeight="1">
      <c r="A185" s="159"/>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c r="X185" s="159"/>
      <c r="Y185" s="159"/>
      <c r="Z185" s="159"/>
    </row>
    <row r="186" spans="1:26" ht="20" customHeight="1">
      <c r="A186" s="159"/>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c r="X186" s="159"/>
      <c r="Y186" s="159"/>
      <c r="Z186" s="159"/>
    </row>
    <row r="187" spans="1:26" ht="20" customHeight="1">
      <c r="A187" s="159"/>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c r="X187" s="159"/>
      <c r="Y187" s="159"/>
      <c r="Z187" s="159"/>
    </row>
    <row r="188" spans="1:26" ht="20" customHeight="1">
      <c r="A188" s="159"/>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c r="X188" s="159"/>
      <c r="Y188" s="159"/>
      <c r="Z188" s="159"/>
    </row>
    <row r="189" spans="1:26" ht="20" customHeight="1">
      <c r="A189" s="159"/>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c r="X189" s="159"/>
      <c r="Y189" s="159"/>
      <c r="Z189" s="159"/>
    </row>
    <row r="190" spans="1:26" ht="20" customHeight="1">
      <c r="A190" s="159"/>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c r="X190" s="159"/>
      <c r="Y190" s="159"/>
      <c r="Z190" s="159"/>
    </row>
    <row r="191" spans="1:26" ht="20" customHeight="1">
      <c r="A191" s="159"/>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c r="X191" s="159"/>
      <c r="Y191" s="159"/>
      <c r="Z191" s="159"/>
    </row>
    <row r="192" spans="1:26" ht="20" customHeight="1">
      <c r="A192" s="159"/>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c r="X192" s="159"/>
      <c r="Y192" s="159"/>
      <c r="Z192" s="159"/>
    </row>
    <row r="193" spans="1:26" ht="20" customHeight="1">
      <c r="A193" s="159"/>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c r="X193" s="159"/>
      <c r="Y193" s="159"/>
      <c r="Z193" s="159"/>
    </row>
    <row r="194" spans="1:26" ht="20" customHeight="1">
      <c r="A194" s="159"/>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c r="X194" s="159"/>
      <c r="Y194" s="159"/>
      <c r="Z194" s="159"/>
    </row>
    <row r="195" spans="1:26" ht="20" customHeight="1">
      <c r="A195" s="159"/>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c r="X195" s="159"/>
      <c r="Y195" s="159"/>
      <c r="Z195" s="159"/>
    </row>
    <row r="196" spans="1:26" ht="20" customHeight="1">
      <c r="A196" s="159"/>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c r="X196" s="159"/>
      <c r="Y196" s="159"/>
      <c r="Z196" s="159"/>
    </row>
    <row r="197" spans="1:26" ht="20" customHeight="1">
      <c r="A197" s="159"/>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c r="X197" s="159"/>
      <c r="Y197" s="159"/>
      <c r="Z197" s="159"/>
    </row>
    <row r="198" spans="1:26" ht="20" customHeight="1">
      <c r="A198" s="159"/>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c r="X198" s="159"/>
      <c r="Y198" s="159"/>
      <c r="Z198" s="159"/>
    </row>
    <row r="199" spans="1:26" ht="20" customHeight="1">
      <c r="A199" s="159"/>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c r="X199" s="159"/>
      <c r="Y199" s="159"/>
      <c r="Z199" s="159"/>
    </row>
    <row r="200" spans="1:26" ht="20" customHeight="1">
      <c r="A200" s="159"/>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c r="X200" s="159"/>
      <c r="Y200" s="159"/>
      <c r="Z200" s="159"/>
    </row>
    <row r="201" spans="1:26" ht="20" customHeight="1">
      <c r="A201" s="159"/>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c r="X201" s="159"/>
      <c r="Y201" s="159"/>
      <c r="Z201" s="159"/>
    </row>
    <row r="202" spans="1:26" ht="20" customHeight="1">
      <c r="A202" s="159"/>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c r="X202" s="159"/>
      <c r="Y202" s="159"/>
      <c r="Z202" s="159"/>
    </row>
    <row r="203" spans="1:26" ht="20" customHeight="1">
      <c r="A203" s="159"/>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c r="X203" s="159"/>
      <c r="Y203" s="159"/>
      <c r="Z203" s="159"/>
    </row>
    <row r="204" spans="1:26" ht="20" customHeight="1">
      <c r="A204" s="159"/>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c r="X204" s="159"/>
      <c r="Y204" s="159"/>
      <c r="Z204" s="159"/>
    </row>
    <row r="205" spans="1:26" ht="20" customHeight="1">
      <c r="A205" s="159"/>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c r="X205" s="159"/>
      <c r="Y205" s="159"/>
      <c r="Z205" s="159"/>
    </row>
    <row r="206" spans="1:26" ht="20" customHeight="1">
      <c r="A206" s="159"/>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c r="X206" s="159"/>
      <c r="Y206" s="159"/>
      <c r="Z206" s="159"/>
    </row>
    <row r="207" spans="1:26" ht="20" customHeight="1">
      <c r="A207" s="159"/>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c r="X207" s="159"/>
      <c r="Y207" s="159"/>
      <c r="Z207" s="159"/>
    </row>
    <row r="208" spans="1:26" ht="20" customHeight="1">
      <c r="A208" s="159"/>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c r="X208" s="159"/>
      <c r="Y208" s="159"/>
      <c r="Z208" s="159"/>
    </row>
    <row r="209" spans="1:26" ht="20" customHeight="1">
      <c r="A209" s="159"/>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c r="X209" s="159"/>
      <c r="Y209" s="159"/>
      <c r="Z209" s="159"/>
    </row>
    <row r="210" spans="1:26" ht="20" customHeight="1">
      <c r="A210" s="159"/>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c r="X210" s="159"/>
      <c r="Y210" s="159"/>
      <c r="Z210" s="159"/>
    </row>
    <row r="211" spans="1:26" ht="20" customHeight="1">
      <c r="A211" s="159"/>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c r="X211" s="159"/>
      <c r="Y211" s="159"/>
      <c r="Z211" s="159"/>
    </row>
    <row r="212" spans="1:26" ht="20" customHeight="1">
      <c r="A212" s="159"/>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c r="X212" s="159"/>
      <c r="Y212" s="159"/>
      <c r="Z212" s="159"/>
    </row>
    <row r="213" spans="1:26" ht="20" customHeight="1">
      <c r="A213" s="159"/>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c r="X213" s="159"/>
      <c r="Y213" s="159"/>
      <c r="Z213" s="159"/>
    </row>
    <row r="214" spans="1:26" ht="20" customHeight="1">
      <c r="A214" s="159"/>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c r="X214" s="159"/>
      <c r="Y214" s="159"/>
      <c r="Z214" s="159"/>
    </row>
    <row r="215" spans="1:26" ht="20" customHeight="1">
      <c r="A215" s="159"/>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c r="X215" s="159"/>
      <c r="Y215" s="159"/>
      <c r="Z215" s="159"/>
    </row>
    <row r="216" spans="1:26" ht="20" customHeight="1">
      <c r="A216" s="159"/>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c r="X216" s="159"/>
      <c r="Y216" s="159"/>
      <c r="Z216" s="159"/>
    </row>
    <row r="217" spans="1:26" ht="20" customHeight="1">
      <c r="A217" s="159"/>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c r="X217" s="159"/>
      <c r="Y217" s="159"/>
      <c r="Z217" s="159"/>
    </row>
    <row r="218" spans="1:26" ht="20" customHeight="1">
      <c r="A218" s="159"/>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c r="X218" s="159"/>
      <c r="Y218" s="159"/>
      <c r="Z218" s="159"/>
    </row>
    <row r="219" spans="1:26" ht="20" customHeight="1">
      <c r="A219" s="159"/>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c r="X219" s="159"/>
      <c r="Y219" s="159"/>
      <c r="Z219" s="159"/>
    </row>
    <row r="220" spans="1:26" ht="20" customHeight="1">
      <c r="A220" s="159"/>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c r="X220" s="159"/>
      <c r="Y220" s="159"/>
      <c r="Z220" s="159"/>
    </row>
    <row r="221" spans="1:26" ht="20" customHeight="1">
      <c r="A221" s="159"/>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c r="X221" s="159"/>
      <c r="Y221" s="159"/>
      <c r="Z221" s="159"/>
    </row>
    <row r="222" spans="1:26" ht="20" customHeight="1">
      <c r="A222" s="159"/>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c r="X222" s="159"/>
      <c r="Y222" s="159"/>
      <c r="Z222" s="159"/>
    </row>
    <row r="223" spans="1:26" ht="20" customHeight="1">
      <c r="A223" s="159"/>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c r="X223" s="159"/>
      <c r="Y223" s="159"/>
      <c r="Z223" s="159"/>
    </row>
    <row r="224" spans="1:26" ht="20" customHeight="1">
      <c r="A224" s="159"/>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c r="X224" s="159"/>
      <c r="Y224" s="159"/>
      <c r="Z224" s="159"/>
    </row>
    <row r="225" spans="1:26" ht="20" customHeight="1">
      <c r="A225" s="159"/>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c r="X225" s="159"/>
      <c r="Y225" s="159"/>
      <c r="Z225" s="159"/>
    </row>
    <row r="226" spans="1:26" ht="20" customHeight="1">
      <c r="A226" s="159"/>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c r="X226" s="159"/>
      <c r="Y226" s="159"/>
      <c r="Z226" s="159"/>
    </row>
    <row r="227" spans="1:26" ht="20" customHeight="1">
      <c r="A227" s="159"/>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c r="X227" s="159"/>
      <c r="Y227" s="159"/>
      <c r="Z227" s="159"/>
    </row>
    <row r="228" spans="1:26" ht="20" customHeight="1">
      <c r="A228" s="159"/>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c r="X228" s="159"/>
      <c r="Y228" s="159"/>
      <c r="Z228" s="159"/>
    </row>
    <row r="229" spans="1:26" ht="20" customHeight="1">
      <c r="A229" s="159"/>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c r="X229" s="159"/>
      <c r="Y229" s="159"/>
      <c r="Z229" s="159"/>
    </row>
    <row r="230" spans="1:26" ht="20" customHeight="1">
      <c r="A230" s="159"/>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c r="X230" s="159"/>
      <c r="Y230" s="159"/>
      <c r="Z230" s="159"/>
    </row>
    <row r="231" spans="1:26" ht="20" customHeight="1">
      <c r="A231" s="159"/>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c r="X231" s="159"/>
      <c r="Y231" s="159"/>
      <c r="Z231" s="159"/>
    </row>
    <row r="232" spans="1:26" ht="20" customHeight="1">
      <c r="A232" s="159"/>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c r="X232" s="159"/>
      <c r="Y232" s="159"/>
      <c r="Z232" s="159"/>
    </row>
    <row r="233" spans="1:26" ht="20" customHeight="1">
      <c r="A233" s="159"/>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c r="X233" s="159"/>
      <c r="Y233" s="159"/>
      <c r="Z233" s="159"/>
    </row>
    <row r="234" spans="1:26" ht="20" customHeight="1">
      <c r="A234" s="159"/>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c r="X234" s="159"/>
      <c r="Y234" s="159"/>
      <c r="Z234" s="159"/>
    </row>
    <row r="235" spans="1:26" ht="20" customHeight="1">
      <c r="A235" s="159"/>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c r="X235" s="159"/>
      <c r="Y235" s="159"/>
      <c r="Z235" s="159"/>
    </row>
    <row r="236" spans="1:26" ht="20" customHeight="1">
      <c r="A236" s="159"/>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c r="X236" s="159"/>
      <c r="Y236" s="159"/>
      <c r="Z236" s="159"/>
    </row>
    <row r="237" spans="1:26" ht="20" customHeight="1">
      <c r="A237" s="159"/>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c r="X237" s="159"/>
      <c r="Y237" s="159"/>
      <c r="Z237" s="159"/>
    </row>
    <row r="238" spans="1:26" ht="20" customHeight="1">
      <c r="A238" s="159"/>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c r="X238" s="159"/>
      <c r="Y238" s="159"/>
      <c r="Z238" s="159"/>
    </row>
    <row r="239" spans="1:26" ht="20" customHeight="1">
      <c r="A239" s="159"/>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c r="X239" s="159"/>
      <c r="Y239" s="159"/>
      <c r="Z239" s="159"/>
    </row>
    <row r="240" spans="1:26" ht="20" customHeight="1">
      <c r="A240" s="159"/>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c r="X240" s="159"/>
      <c r="Y240" s="159"/>
      <c r="Z240" s="159"/>
    </row>
    <row r="241" spans="1:26" ht="20" customHeight="1">
      <c r="A241" s="159"/>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c r="X241" s="159"/>
      <c r="Y241" s="159"/>
      <c r="Z241" s="159"/>
    </row>
    <row r="242" spans="1:26" ht="20" customHeight="1">
      <c r="A242" s="159"/>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c r="X242" s="159"/>
      <c r="Y242" s="159"/>
      <c r="Z242" s="159"/>
    </row>
    <row r="243" spans="1:26" ht="20" customHeight="1">
      <c r="A243" s="159"/>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c r="X243" s="159"/>
      <c r="Y243" s="159"/>
      <c r="Z243" s="159"/>
    </row>
    <row r="244" spans="1:26" ht="20" customHeight="1">
      <c r="A244" s="159"/>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c r="X244" s="159"/>
      <c r="Y244" s="159"/>
      <c r="Z244" s="159"/>
    </row>
    <row r="245" spans="1:26" ht="20" customHeight="1">
      <c r="A245" s="159"/>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c r="X245" s="159"/>
      <c r="Y245" s="159"/>
      <c r="Z245" s="159"/>
    </row>
    <row r="246" spans="1:26" ht="20" customHeight="1">
      <c r="A246" s="159"/>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c r="X246" s="159"/>
      <c r="Y246" s="159"/>
      <c r="Z246" s="159"/>
    </row>
    <row r="247" spans="1:26" ht="20" customHeight="1">
      <c r="A247" s="159"/>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c r="X247" s="159"/>
      <c r="Y247" s="159"/>
      <c r="Z247" s="159"/>
    </row>
    <row r="248" spans="1:26" ht="20" customHeight="1">
      <c r="A248" s="159"/>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c r="X248" s="159"/>
      <c r="Y248" s="159"/>
      <c r="Z248" s="159"/>
    </row>
    <row r="249" spans="1:26" ht="20" customHeight="1">
      <c r="A249" s="159"/>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c r="X249" s="159"/>
      <c r="Y249" s="159"/>
      <c r="Z249" s="159"/>
    </row>
    <row r="250" spans="1:26" ht="20" customHeight="1">
      <c r="A250" s="159"/>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c r="X250" s="159"/>
      <c r="Y250" s="159"/>
      <c r="Z250" s="159"/>
    </row>
    <row r="251" spans="1:26" ht="20" customHeight="1">
      <c r="A251" s="159"/>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c r="X251" s="159"/>
      <c r="Y251" s="159"/>
      <c r="Z251" s="159"/>
    </row>
    <row r="252" spans="1:26" ht="20" customHeight="1">
      <c r="A252" s="159"/>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c r="X252" s="159"/>
      <c r="Y252" s="159"/>
      <c r="Z252" s="159"/>
    </row>
    <row r="253" spans="1:26" ht="20" customHeight="1">
      <c r="A253" s="159"/>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c r="X253" s="159"/>
      <c r="Y253" s="159"/>
      <c r="Z253" s="159"/>
    </row>
    <row r="254" spans="1:26" ht="20" customHeight="1">
      <c r="A254" s="159"/>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c r="X254" s="159"/>
      <c r="Y254" s="159"/>
      <c r="Z254" s="159"/>
    </row>
    <row r="255" spans="1:26" ht="20" customHeight="1">
      <c r="A255" s="159"/>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c r="X255" s="159"/>
      <c r="Y255" s="159"/>
      <c r="Z255" s="159"/>
    </row>
    <row r="256" spans="1:26" ht="20" customHeight="1">
      <c r="A256" s="159"/>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c r="X256" s="159"/>
      <c r="Y256" s="159"/>
      <c r="Z256" s="159"/>
    </row>
    <row r="257" spans="1:26" ht="20" customHeight="1">
      <c r="A257" s="159"/>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c r="X257" s="159"/>
      <c r="Y257" s="159"/>
      <c r="Z257" s="159"/>
    </row>
    <row r="258" spans="1:26" ht="20" customHeight="1">
      <c r="A258" s="159"/>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c r="X258" s="159"/>
      <c r="Y258" s="159"/>
      <c r="Z258" s="159"/>
    </row>
    <row r="259" spans="1:26" ht="20" customHeight="1">
      <c r="A259" s="159"/>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c r="X259" s="159"/>
      <c r="Y259" s="159"/>
      <c r="Z259" s="159"/>
    </row>
    <row r="260" spans="1:26" ht="20" customHeight="1">
      <c r="A260" s="159"/>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c r="X260" s="159"/>
      <c r="Y260" s="159"/>
      <c r="Z260" s="159"/>
    </row>
    <row r="261" spans="1:26" ht="20" customHeight="1">
      <c r="A261" s="159"/>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c r="X261" s="159"/>
      <c r="Y261" s="159"/>
      <c r="Z261" s="159"/>
    </row>
    <row r="262" spans="1:26" ht="20" customHeight="1">
      <c r="A262" s="159"/>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c r="X262" s="159"/>
      <c r="Y262" s="159"/>
      <c r="Z262" s="159"/>
    </row>
    <row r="263" spans="1:26" ht="20" customHeight="1">
      <c r="A263" s="159"/>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c r="X263" s="159"/>
      <c r="Y263" s="159"/>
      <c r="Z263" s="159"/>
    </row>
    <row r="264" spans="1:26" ht="20" customHeight="1">
      <c r="A264" s="159"/>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c r="X264" s="159"/>
      <c r="Y264" s="159"/>
      <c r="Z264" s="159"/>
    </row>
    <row r="265" spans="1:26" ht="20" customHeight="1">
      <c r="A265" s="159"/>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c r="X265" s="159"/>
      <c r="Y265" s="159"/>
      <c r="Z265" s="159"/>
    </row>
    <row r="266" spans="1:26" ht="20" customHeight="1">
      <c r="A266" s="159"/>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c r="X266" s="159"/>
      <c r="Y266" s="159"/>
      <c r="Z266" s="159"/>
    </row>
    <row r="267" spans="1:26" ht="20" customHeight="1">
      <c r="A267" s="159"/>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c r="X267" s="159"/>
      <c r="Y267" s="159"/>
      <c r="Z267" s="159"/>
    </row>
    <row r="268" spans="1:26" ht="20" customHeight="1">
      <c r="A268" s="159"/>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c r="X268" s="159"/>
      <c r="Y268" s="159"/>
      <c r="Z268" s="159"/>
    </row>
    <row r="269" spans="1:26" ht="20" customHeight="1">
      <c r="A269" s="159"/>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c r="X269" s="159"/>
      <c r="Y269" s="159"/>
      <c r="Z269" s="159"/>
    </row>
    <row r="270" spans="1:26" ht="20" customHeight="1">
      <c r="A270" s="159"/>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c r="X270" s="159"/>
      <c r="Y270" s="159"/>
      <c r="Z270" s="159"/>
    </row>
    <row r="271" spans="1:26" ht="20" customHeight="1">
      <c r="A271" s="159"/>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c r="X271" s="159"/>
      <c r="Y271" s="159"/>
      <c r="Z271" s="159"/>
    </row>
    <row r="272" spans="1:26" ht="20" customHeight="1">
      <c r="A272" s="159"/>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c r="X272" s="159"/>
      <c r="Y272" s="159"/>
      <c r="Z272" s="159"/>
    </row>
    <row r="273" spans="1:26" ht="20" customHeight="1">
      <c r="A273" s="159"/>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c r="X273" s="159"/>
      <c r="Y273" s="159"/>
      <c r="Z273" s="159"/>
    </row>
    <row r="274" spans="1:26" ht="20" customHeight="1">
      <c r="A274" s="159"/>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c r="X274" s="159"/>
      <c r="Y274" s="159"/>
      <c r="Z274" s="159"/>
    </row>
    <row r="275" spans="1:26" ht="20" customHeight="1">
      <c r="A275" s="159"/>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c r="X275" s="159"/>
      <c r="Y275" s="159"/>
      <c r="Z275" s="159"/>
    </row>
    <row r="276" spans="1:26" ht="20" customHeight="1">
      <c r="A276" s="159"/>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c r="X276" s="159"/>
      <c r="Y276" s="159"/>
      <c r="Z276" s="159"/>
    </row>
    <row r="277" spans="1:26" ht="20" customHeight="1">
      <c r="A277" s="159"/>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c r="X277" s="159"/>
      <c r="Y277" s="159"/>
      <c r="Z277" s="159"/>
    </row>
    <row r="278" spans="1:26" ht="20" customHeight="1">
      <c r="A278" s="159"/>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c r="X278" s="159"/>
      <c r="Y278" s="159"/>
      <c r="Z278" s="159"/>
    </row>
    <row r="279" spans="1:26" ht="20" customHeight="1">
      <c r="A279" s="159"/>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c r="X279" s="159"/>
      <c r="Y279" s="159"/>
      <c r="Z279" s="159"/>
    </row>
    <row r="280" spans="1:26" ht="20" customHeight="1">
      <c r="A280" s="159"/>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c r="X280" s="159"/>
      <c r="Y280" s="159"/>
      <c r="Z280" s="159"/>
    </row>
    <row r="281" spans="1:26" ht="20" customHeight="1">
      <c r="A281" s="159"/>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c r="X281" s="159"/>
      <c r="Y281" s="159"/>
      <c r="Z281" s="159"/>
    </row>
    <row r="282" spans="1:26" ht="20" customHeight="1">
      <c r="A282" s="159"/>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c r="X282" s="159"/>
      <c r="Y282" s="159"/>
      <c r="Z282" s="159"/>
    </row>
    <row r="283" spans="1:26" ht="20" customHeight="1">
      <c r="A283" s="159"/>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c r="X283" s="159"/>
      <c r="Y283" s="159"/>
      <c r="Z283" s="159"/>
    </row>
    <row r="284" spans="1:26" ht="20" customHeight="1">
      <c r="A284" s="159"/>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c r="X284" s="159"/>
      <c r="Y284" s="159"/>
      <c r="Z284" s="159"/>
    </row>
    <row r="285" spans="1:26" ht="20" customHeight="1">
      <c r="A285" s="159"/>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c r="X285" s="159"/>
      <c r="Y285" s="159"/>
      <c r="Z285" s="159"/>
    </row>
    <row r="286" spans="1:26" ht="20" customHeight="1">
      <c r="A286" s="159"/>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c r="X286" s="159"/>
      <c r="Y286" s="159"/>
      <c r="Z286" s="159"/>
    </row>
    <row r="287" spans="1:26" ht="20" customHeight="1">
      <c r="A287" s="159"/>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c r="X287" s="159"/>
      <c r="Y287" s="159"/>
      <c r="Z287" s="159"/>
    </row>
    <row r="288" spans="1:26" ht="20" customHeight="1">
      <c r="A288" s="159"/>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c r="X288" s="159"/>
      <c r="Y288" s="159"/>
      <c r="Z288" s="159"/>
    </row>
    <row r="289" spans="1:26" ht="20" customHeight="1">
      <c r="A289" s="159"/>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c r="X289" s="159"/>
      <c r="Y289" s="159"/>
      <c r="Z289" s="159"/>
    </row>
    <row r="290" spans="1:26" ht="20" customHeight="1">
      <c r="A290" s="159"/>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c r="X290" s="159"/>
      <c r="Y290" s="159"/>
      <c r="Z290" s="159"/>
    </row>
    <row r="291" spans="1:26" ht="20" customHeight="1">
      <c r="A291" s="159"/>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c r="X291" s="159"/>
      <c r="Y291" s="159"/>
      <c r="Z291" s="159"/>
    </row>
    <row r="292" spans="1:26" ht="20" customHeight="1">
      <c r="A292" s="159"/>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c r="X292" s="159"/>
      <c r="Y292" s="159"/>
      <c r="Z292" s="159"/>
    </row>
    <row r="293" spans="1:26" ht="20" customHeight="1">
      <c r="A293" s="159"/>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c r="X293" s="159"/>
      <c r="Y293" s="159"/>
      <c r="Z293" s="159"/>
    </row>
    <row r="294" spans="1:26" ht="20" customHeight="1">
      <c r="A294" s="159"/>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c r="X294" s="159"/>
      <c r="Y294" s="159"/>
      <c r="Z294" s="159"/>
    </row>
    <row r="295" spans="1:26" ht="20" customHeight="1">
      <c r="A295" s="159"/>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c r="X295" s="159"/>
      <c r="Y295" s="159"/>
      <c r="Z295" s="159"/>
    </row>
    <row r="296" spans="1:26" ht="20" customHeight="1">
      <c r="A296" s="159"/>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c r="X296" s="159"/>
      <c r="Y296" s="159"/>
      <c r="Z296" s="159"/>
    </row>
    <row r="297" spans="1:26" ht="20" customHeight="1">
      <c r="A297" s="159"/>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c r="X297" s="159"/>
      <c r="Y297" s="159"/>
      <c r="Z297" s="159"/>
    </row>
    <row r="298" spans="1:26" ht="20" customHeight="1">
      <c r="A298" s="159"/>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c r="X298" s="159"/>
      <c r="Y298" s="159"/>
      <c r="Z298" s="159"/>
    </row>
    <row r="299" spans="1:26" ht="20" customHeight="1">
      <c r="A299" s="159"/>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c r="X299" s="159"/>
      <c r="Y299" s="159"/>
      <c r="Z299" s="159"/>
    </row>
    <row r="300" spans="1:26" ht="20" customHeight="1">
      <c r="A300" s="159"/>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c r="X300" s="159"/>
      <c r="Y300" s="159"/>
      <c r="Z300" s="159"/>
    </row>
    <row r="301" spans="1:26" ht="20" customHeight="1">
      <c r="A301" s="159"/>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c r="X301" s="159"/>
      <c r="Y301" s="159"/>
      <c r="Z301" s="159"/>
    </row>
    <row r="302" spans="1:26" ht="20" customHeight="1">
      <c r="A302" s="159"/>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c r="X302" s="159"/>
      <c r="Y302" s="159"/>
      <c r="Z302" s="159"/>
    </row>
    <row r="303" spans="1:26" ht="20" customHeight="1">
      <c r="A303" s="159"/>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c r="X303" s="159"/>
      <c r="Y303" s="159"/>
      <c r="Z303" s="159"/>
    </row>
    <row r="304" spans="1:26" ht="20" customHeight="1">
      <c r="A304" s="159"/>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c r="X304" s="159"/>
      <c r="Y304" s="159"/>
      <c r="Z304" s="159"/>
    </row>
    <row r="305" spans="1:26" ht="20" customHeight="1">
      <c r="A305" s="159"/>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c r="X305" s="159"/>
      <c r="Y305" s="159"/>
      <c r="Z305" s="159"/>
    </row>
    <row r="306" spans="1:26" ht="20" customHeight="1">
      <c r="A306" s="159"/>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c r="X306" s="159"/>
      <c r="Y306" s="159"/>
      <c r="Z306" s="159"/>
    </row>
    <row r="307" spans="1:26" ht="20" customHeight="1">
      <c r="A307" s="159"/>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c r="X307" s="159"/>
      <c r="Y307" s="159"/>
      <c r="Z307" s="159"/>
    </row>
    <row r="308" spans="1:26" ht="20" customHeight="1">
      <c r="A308" s="159"/>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c r="X308" s="159"/>
      <c r="Y308" s="159"/>
      <c r="Z308" s="159"/>
    </row>
    <row r="309" spans="1:26" ht="20" customHeight="1">
      <c r="A309" s="159"/>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c r="X309" s="159"/>
      <c r="Y309" s="159"/>
      <c r="Z309" s="159"/>
    </row>
    <row r="310" spans="1:26" ht="20" customHeight="1">
      <c r="A310" s="159"/>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c r="X310" s="159"/>
      <c r="Y310" s="159"/>
      <c r="Z310" s="159"/>
    </row>
    <row r="311" spans="1:26" ht="20" customHeight="1">
      <c r="A311" s="159"/>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c r="X311" s="159"/>
      <c r="Y311" s="159"/>
      <c r="Z311" s="159"/>
    </row>
    <row r="312" spans="1:26" ht="20" customHeight="1">
      <c r="A312" s="159"/>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c r="X312" s="159"/>
      <c r="Y312" s="159"/>
      <c r="Z312" s="159"/>
    </row>
    <row r="313" spans="1:26" ht="20" customHeight="1">
      <c r="A313" s="159"/>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c r="X313" s="159"/>
      <c r="Y313" s="159"/>
      <c r="Z313" s="159"/>
    </row>
    <row r="314" spans="1:26" ht="20" customHeight="1">
      <c r="A314" s="159"/>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c r="X314" s="159"/>
      <c r="Y314" s="159"/>
      <c r="Z314" s="159"/>
    </row>
    <row r="315" spans="1:26" ht="20" customHeight="1">
      <c r="A315" s="159"/>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c r="X315" s="159"/>
      <c r="Y315" s="159"/>
      <c r="Z315" s="159"/>
    </row>
    <row r="316" spans="1:26" ht="20" customHeight="1">
      <c r="A316" s="159"/>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c r="X316" s="159"/>
      <c r="Y316" s="159"/>
      <c r="Z316" s="159"/>
    </row>
    <row r="317" spans="1:26" ht="20" customHeight="1">
      <c r="A317" s="159"/>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c r="X317" s="159"/>
      <c r="Y317" s="159"/>
      <c r="Z317" s="159"/>
    </row>
    <row r="318" spans="1:26" ht="20" customHeight="1">
      <c r="A318" s="159"/>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c r="X318" s="159"/>
      <c r="Y318" s="159"/>
      <c r="Z318" s="159"/>
    </row>
    <row r="319" spans="1:26" ht="20" customHeight="1">
      <c r="A319" s="159"/>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c r="X319" s="159"/>
      <c r="Y319" s="159"/>
      <c r="Z319" s="159"/>
    </row>
    <row r="320" spans="1:26" ht="20" customHeight="1">
      <c r="A320" s="159"/>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c r="X320" s="159"/>
      <c r="Y320" s="159"/>
      <c r="Z320" s="159"/>
    </row>
    <row r="321" spans="1:26" ht="20" customHeight="1">
      <c r="A321" s="159"/>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c r="X321" s="159"/>
      <c r="Y321" s="159"/>
      <c r="Z321" s="159"/>
    </row>
    <row r="322" spans="1:26" ht="20" customHeight="1">
      <c r="A322" s="159"/>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c r="X322" s="159"/>
      <c r="Y322" s="159"/>
      <c r="Z322" s="159"/>
    </row>
    <row r="323" spans="1:26" ht="20" customHeight="1">
      <c r="A323" s="159"/>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c r="X323" s="159"/>
      <c r="Y323" s="159"/>
      <c r="Z323" s="159"/>
    </row>
    <row r="324" spans="1:26" ht="20" customHeight="1">
      <c r="A324" s="159"/>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c r="X324" s="159"/>
      <c r="Y324" s="159"/>
      <c r="Z324" s="159"/>
    </row>
    <row r="325" spans="1:26" ht="20" customHeight="1">
      <c r="A325" s="159"/>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c r="X325" s="159"/>
      <c r="Y325" s="159"/>
      <c r="Z325" s="159"/>
    </row>
    <row r="326" spans="1:26" ht="20" customHeight="1">
      <c r="A326" s="159"/>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c r="X326" s="159"/>
      <c r="Y326" s="159"/>
      <c r="Z326" s="159"/>
    </row>
    <row r="327" spans="1:26" ht="20" customHeight="1">
      <c r="A327" s="159"/>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c r="X327" s="159"/>
      <c r="Y327" s="159"/>
      <c r="Z327" s="159"/>
    </row>
    <row r="328" spans="1:26" ht="20" customHeight="1">
      <c r="A328" s="159"/>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c r="X328" s="159"/>
      <c r="Y328" s="159"/>
      <c r="Z328" s="159"/>
    </row>
    <row r="329" spans="1:26" ht="20" customHeight="1">
      <c r="A329" s="159"/>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c r="X329" s="159"/>
      <c r="Y329" s="159"/>
      <c r="Z329" s="159"/>
    </row>
    <row r="330" spans="1:26" ht="20" customHeight="1">
      <c r="A330" s="159"/>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c r="X330" s="159"/>
      <c r="Y330" s="159"/>
      <c r="Z330" s="159"/>
    </row>
    <row r="331" spans="1:26" ht="20" customHeight="1">
      <c r="A331" s="159"/>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c r="X331" s="159"/>
      <c r="Y331" s="159"/>
      <c r="Z331" s="159"/>
    </row>
    <row r="332" spans="1:26" ht="20" customHeight="1">
      <c r="A332" s="159"/>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c r="X332" s="159"/>
      <c r="Y332" s="159"/>
      <c r="Z332" s="159"/>
    </row>
    <row r="333" spans="1:26" ht="20" customHeight="1">
      <c r="A333" s="159"/>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c r="X333" s="159"/>
      <c r="Y333" s="159"/>
      <c r="Z333" s="159"/>
    </row>
    <row r="334" spans="1:26" ht="20" customHeight="1">
      <c r="A334" s="159"/>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c r="X334" s="159"/>
      <c r="Y334" s="159"/>
      <c r="Z334" s="159"/>
    </row>
    <row r="335" spans="1:26" ht="20" customHeight="1">
      <c r="A335" s="159"/>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c r="X335" s="159"/>
      <c r="Y335" s="159"/>
      <c r="Z335" s="159"/>
    </row>
    <row r="336" spans="1:26" ht="20" customHeight="1">
      <c r="A336" s="159"/>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c r="X336" s="159"/>
      <c r="Y336" s="159"/>
      <c r="Z336" s="159"/>
    </row>
    <row r="337" spans="1:26" ht="20" customHeight="1">
      <c r="A337" s="159"/>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c r="X337" s="159"/>
      <c r="Y337" s="159"/>
      <c r="Z337" s="159"/>
    </row>
    <row r="338" spans="1:26" ht="20" customHeight="1">
      <c r="A338" s="159"/>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c r="X338" s="159"/>
      <c r="Y338" s="159"/>
      <c r="Z338" s="159"/>
    </row>
    <row r="339" spans="1:26" ht="20" customHeight="1">
      <c r="A339" s="159"/>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c r="X339" s="159"/>
      <c r="Y339" s="159"/>
      <c r="Z339" s="159"/>
    </row>
    <row r="340" spans="1:26" ht="20" customHeight="1">
      <c r="A340" s="159"/>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c r="X340" s="159"/>
      <c r="Y340" s="159"/>
      <c r="Z340" s="159"/>
    </row>
    <row r="341" spans="1:26" ht="20" customHeight="1">
      <c r="A341" s="159"/>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c r="X341" s="159"/>
      <c r="Y341" s="159"/>
      <c r="Z341" s="159"/>
    </row>
    <row r="342" spans="1:26" ht="20" customHeight="1">
      <c r="A342" s="159"/>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c r="X342" s="159"/>
      <c r="Y342" s="159"/>
      <c r="Z342" s="159"/>
    </row>
    <row r="343" spans="1:26" ht="20" customHeight="1">
      <c r="A343" s="159"/>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c r="X343" s="159"/>
      <c r="Y343" s="159"/>
      <c r="Z343" s="159"/>
    </row>
    <row r="344" spans="1:26" ht="20" customHeight="1">
      <c r="A344" s="159"/>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c r="X344" s="159"/>
      <c r="Y344" s="159"/>
      <c r="Z344" s="159"/>
    </row>
    <row r="345" spans="1:26" ht="20" customHeight="1">
      <c r="A345" s="159"/>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c r="X345" s="159"/>
      <c r="Y345" s="159"/>
      <c r="Z345" s="159"/>
    </row>
    <row r="346" spans="1:26" ht="20" customHeight="1">
      <c r="A346" s="159"/>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c r="X346" s="159"/>
      <c r="Y346" s="159"/>
      <c r="Z346" s="159"/>
    </row>
    <row r="347" spans="1:26" ht="20" customHeight="1">
      <c r="A347" s="159"/>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c r="X347" s="159"/>
      <c r="Y347" s="159"/>
      <c r="Z347" s="159"/>
    </row>
    <row r="348" spans="1:26" ht="20" customHeight="1">
      <c r="A348" s="159"/>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c r="X348" s="159"/>
      <c r="Y348" s="159"/>
      <c r="Z348" s="159"/>
    </row>
    <row r="349" spans="1:26" ht="20" customHeight="1">
      <c r="A349" s="159"/>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c r="X349" s="159"/>
      <c r="Y349" s="159"/>
      <c r="Z349" s="159"/>
    </row>
    <row r="350" spans="1:26" ht="20" customHeight="1">
      <c r="A350" s="159"/>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c r="X350" s="159"/>
      <c r="Y350" s="159"/>
      <c r="Z350" s="159"/>
    </row>
    <row r="351" spans="1:26" ht="20" customHeight="1">
      <c r="A351" s="159"/>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c r="X351" s="159"/>
      <c r="Y351" s="159"/>
      <c r="Z351" s="159"/>
    </row>
    <row r="352" spans="1:26" ht="20" customHeight="1">
      <c r="A352" s="159"/>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c r="X352" s="159"/>
      <c r="Y352" s="159"/>
      <c r="Z352" s="159"/>
    </row>
    <row r="353" spans="1:26" ht="20" customHeight="1">
      <c r="A353" s="159"/>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c r="X353" s="159"/>
      <c r="Y353" s="159"/>
      <c r="Z353" s="159"/>
    </row>
    <row r="354" spans="1:26" ht="20" customHeight="1">
      <c r="A354" s="159"/>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c r="X354" s="159"/>
      <c r="Y354" s="159"/>
      <c r="Z354" s="159"/>
    </row>
    <row r="355" spans="1:26" ht="20" customHeight="1">
      <c r="A355" s="159"/>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c r="X355" s="159"/>
      <c r="Y355" s="159"/>
      <c r="Z355" s="159"/>
    </row>
    <row r="356" spans="1:26" ht="20" customHeight="1">
      <c r="A356" s="159"/>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c r="X356" s="159"/>
      <c r="Y356" s="159"/>
      <c r="Z356" s="159"/>
    </row>
    <row r="357" spans="1:26" ht="20" customHeight="1">
      <c r="A357" s="159"/>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c r="X357" s="159"/>
      <c r="Y357" s="159"/>
      <c r="Z357" s="159"/>
    </row>
    <row r="358" spans="1:26" ht="20" customHeight="1">
      <c r="A358" s="159"/>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c r="X358" s="159"/>
      <c r="Y358" s="159"/>
      <c r="Z358" s="159"/>
    </row>
    <row r="359" spans="1:26" ht="20" customHeight="1">
      <c r="A359" s="159"/>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c r="X359" s="159"/>
      <c r="Y359" s="159"/>
      <c r="Z359" s="159"/>
    </row>
    <row r="360" spans="1:26" ht="20" customHeight="1">
      <c r="A360" s="159"/>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c r="X360" s="159"/>
      <c r="Y360" s="159"/>
      <c r="Z360" s="159"/>
    </row>
    <row r="361" spans="1:26" ht="20" customHeight="1">
      <c r="A361" s="159"/>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c r="X361" s="159"/>
      <c r="Y361" s="159"/>
      <c r="Z361" s="159"/>
    </row>
    <row r="362" spans="1:26" ht="20" customHeight="1">
      <c r="A362" s="159"/>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c r="X362" s="159"/>
      <c r="Y362" s="159"/>
      <c r="Z362" s="159"/>
    </row>
    <row r="363" spans="1:26" ht="20" customHeight="1">
      <c r="A363" s="159"/>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c r="X363" s="159"/>
      <c r="Y363" s="159"/>
      <c r="Z363" s="159"/>
    </row>
    <row r="364" spans="1:26" ht="20" customHeight="1">
      <c r="A364" s="159"/>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c r="X364" s="159"/>
      <c r="Y364" s="159"/>
      <c r="Z364" s="159"/>
    </row>
    <row r="365" spans="1:26" ht="20" customHeight="1">
      <c r="A365" s="159"/>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c r="X365" s="159"/>
      <c r="Y365" s="159"/>
      <c r="Z365" s="159"/>
    </row>
    <row r="366" spans="1:26" ht="20" customHeight="1">
      <c r="A366" s="159"/>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c r="X366" s="159"/>
      <c r="Y366" s="159"/>
      <c r="Z366" s="159"/>
    </row>
    <row r="367" spans="1:26" ht="20" customHeight="1">
      <c r="A367" s="159"/>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c r="X367" s="159"/>
      <c r="Y367" s="159"/>
      <c r="Z367" s="159"/>
    </row>
    <row r="368" spans="1:26" ht="20" customHeight="1">
      <c r="A368" s="159"/>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c r="X368" s="159"/>
      <c r="Y368" s="159"/>
      <c r="Z368" s="159"/>
    </row>
    <row r="369" spans="1:26" ht="20" customHeight="1">
      <c r="A369" s="159"/>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c r="X369" s="159"/>
      <c r="Y369" s="159"/>
      <c r="Z369" s="159"/>
    </row>
    <row r="370" spans="1:26" ht="20" customHeight="1">
      <c r="A370" s="159"/>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c r="X370" s="159"/>
      <c r="Y370" s="159"/>
      <c r="Z370" s="159"/>
    </row>
    <row r="371" spans="1:26" ht="20" customHeight="1">
      <c r="A371" s="159"/>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c r="X371" s="159"/>
      <c r="Y371" s="159"/>
      <c r="Z371" s="159"/>
    </row>
    <row r="372" spans="1:26" ht="20" customHeight="1">
      <c r="A372" s="159"/>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c r="X372" s="159"/>
      <c r="Y372" s="159"/>
      <c r="Z372" s="159"/>
    </row>
    <row r="373" spans="1:26" ht="20" customHeight="1">
      <c r="A373" s="159"/>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c r="X373" s="159"/>
      <c r="Y373" s="159"/>
      <c r="Z373" s="159"/>
    </row>
    <row r="374" spans="1:26" ht="20" customHeight="1">
      <c r="A374" s="159"/>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c r="X374" s="159"/>
      <c r="Y374" s="159"/>
      <c r="Z374" s="159"/>
    </row>
    <row r="375" spans="1:26" ht="20" customHeight="1">
      <c r="A375" s="159"/>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c r="X375" s="159"/>
      <c r="Y375" s="159"/>
      <c r="Z375" s="159"/>
    </row>
    <row r="376" spans="1:26" ht="20" customHeight="1">
      <c r="A376" s="159"/>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c r="X376" s="159"/>
      <c r="Y376" s="159"/>
      <c r="Z376" s="159"/>
    </row>
    <row r="377" spans="1:26" ht="20" customHeight="1">
      <c r="A377" s="159"/>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c r="X377" s="159"/>
      <c r="Y377" s="159"/>
      <c r="Z377" s="159"/>
    </row>
    <row r="378" spans="1:26" ht="20" customHeight="1">
      <c r="A378" s="159"/>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c r="X378" s="159"/>
      <c r="Y378" s="159"/>
      <c r="Z378" s="159"/>
    </row>
    <row r="379" spans="1:26" ht="20" customHeight="1">
      <c r="A379" s="159"/>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c r="X379" s="159"/>
      <c r="Y379" s="159"/>
      <c r="Z379" s="159"/>
    </row>
    <row r="380" spans="1:26" ht="20" customHeight="1">
      <c r="A380" s="159"/>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c r="X380" s="159"/>
      <c r="Y380" s="159"/>
      <c r="Z380" s="159"/>
    </row>
    <row r="381" spans="1:26" ht="20" customHeight="1">
      <c r="A381" s="159"/>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c r="X381" s="159"/>
      <c r="Y381" s="159"/>
      <c r="Z381" s="159"/>
    </row>
    <row r="382" spans="1:26" ht="20" customHeight="1">
      <c r="A382" s="159"/>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c r="X382" s="159"/>
      <c r="Y382" s="159"/>
      <c r="Z382" s="159"/>
    </row>
    <row r="383" spans="1:26" ht="20" customHeight="1">
      <c r="A383" s="159"/>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c r="X383" s="159"/>
      <c r="Y383" s="159"/>
      <c r="Z383" s="159"/>
    </row>
    <row r="384" spans="1:26" ht="20" customHeight="1">
      <c r="A384" s="159"/>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c r="X384" s="159"/>
      <c r="Y384" s="159"/>
      <c r="Z384" s="159"/>
    </row>
    <row r="385" spans="1:26" ht="20" customHeight="1">
      <c r="A385" s="159"/>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c r="X385" s="159"/>
      <c r="Y385" s="159"/>
      <c r="Z385" s="159"/>
    </row>
    <row r="386" spans="1:26" ht="20" customHeight="1">
      <c r="A386" s="159"/>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c r="X386" s="159"/>
      <c r="Y386" s="159"/>
      <c r="Z386" s="159"/>
    </row>
    <row r="387" spans="1:26" ht="20" customHeight="1">
      <c r="A387" s="159"/>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c r="X387" s="159"/>
      <c r="Y387" s="159"/>
      <c r="Z387" s="159"/>
    </row>
    <row r="388" spans="1:26" ht="20" customHeight="1">
      <c r="A388" s="159"/>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c r="X388" s="159"/>
      <c r="Y388" s="159"/>
      <c r="Z388" s="159"/>
    </row>
    <row r="389" spans="1:26" ht="20" customHeight="1">
      <c r="A389" s="159"/>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c r="X389" s="159"/>
      <c r="Y389" s="159"/>
      <c r="Z389" s="159"/>
    </row>
    <row r="390" spans="1:26" ht="20" customHeight="1">
      <c r="A390" s="159"/>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c r="X390" s="159"/>
      <c r="Y390" s="159"/>
      <c r="Z390" s="159"/>
    </row>
    <row r="391" spans="1:26" ht="20" customHeight="1">
      <c r="A391" s="159"/>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c r="X391" s="159"/>
      <c r="Y391" s="159"/>
      <c r="Z391" s="159"/>
    </row>
    <row r="392" spans="1:26" ht="20" customHeight="1">
      <c r="A392" s="159"/>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c r="X392" s="159"/>
      <c r="Y392" s="159"/>
      <c r="Z392" s="159"/>
    </row>
    <row r="393" spans="1:26" ht="20" customHeight="1">
      <c r="A393" s="159"/>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c r="X393" s="159"/>
      <c r="Y393" s="159"/>
      <c r="Z393" s="159"/>
    </row>
    <row r="394" spans="1:26" ht="20" customHeight="1">
      <c r="A394" s="159"/>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c r="X394" s="159"/>
      <c r="Y394" s="159"/>
      <c r="Z394" s="159"/>
    </row>
    <row r="395" spans="1:26" ht="20" customHeight="1">
      <c r="A395" s="159"/>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c r="X395" s="159"/>
      <c r="Y395" s="159"/>
      <c r="Z395" s="159"/>
    </row>
    <row r="396" spans="1:26" ht="20" customHeight="1">
      <c r="A396" s="159"/>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c r="X396" s="159"/>
      <c r="Y396" s="159"/>
      <c r="Z396" s="159"/>
    </row>
    <row r="397" spans="1:26" ht="20" customHeight="1">
      <c r="A397" s="159"/>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c r="X397" s="159"/>
      <c r="Y397" s="159"/>
      <c r="Z397" s="159"/>
    </row>
    <row r="398" spans="1:26" ht="20" customHeight="1">
      <c r="A398" s="159"/>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c r="X398" s="159"/>
      <c r="Y398" s="159"/>
      <c r="Z398" s="159"/>
    </row>
    <row r="399" spans="1:26" ht="20" customHeight="1">
      <c r="A399" s="159"/>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c r="X399" s="159"/>
      <c r="Y399" s="159"/>
      <c r="Z399" s="159"/>
    </row>
    <row r="400" spans="1:26" ht="20" customHeight="1">
      <c r="A400" s="159"/>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c r="X400" s="159"/>
      <c r="Y400" s="159"/>
      <c r="Z400" s="159"/>
    </row>
    <row r="401" spans="1:26" ht="20" customHeight="1">
      <c r="A401" s="159"/>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c r="X401" s="159"/>
      <c r="Y401" s="159"/>
      <c r="Z401" s="159"/>
    </row>
    <row r="402" spans="1:26" ht="20" customHeight="1">
      <c r="A402" s="159"/>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c r="X402" s="159"/>
      <c r="Y402" s="159"/>
      <c r="Z402" s="159"/>
    </row>
    <row r="403" spans="1:26" ht="20" customHeight="1">
      <c r="A403" s="159"/>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c r="X403" s="159"/>
      <c r="Y403" s="159"/>
      <c r="Z403" s="159"/>
    </row>
    <row r="404" spans="1:26" ht="20" customHeight="1">
      <c r="A404" s="159"/>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c r="X404" s="159"/>
      <c r="Y404" s="159"/>
      <c r="Z404" s="159"/>
    </row>
    <row r="405" spans="1:26" ht="20" customHeight="1">
      <c r="A405" s="159"/>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c r="X405" s="159"/>
      <c r="Y405" s="159"/>
      <c r="Z405" s="159"/>
    </row>
    <row r="406" spans="1:26" ht="20" customHeight="1">
      <c r="A406" s="159"/>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c r="X406" s="159"/>
      <c r="Y406" s="159"/>
      <c r="Z406" s="159"/>
    </row>
    <row r="407" spans="1:26" ht="20" customHeight="1">
      <c r="A407" s="159"/>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c r="X407" s="159"/>
      <c r="Y407" s="159"/>
      <c r="Z407" s="159"/>
    </row>
    <row r="408" spans="1:26" ht="20" customHeight="1">
      <c r="A408" s="159"/>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c r="X408" s="159"/>
      <c r="Y408" s="159"/>
      <c r="Z408" s="159"/>
    </row>
    <row r="409" spans="1:26" ht="20" customHeight="1">
      <c r="A409" s="159"/>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c r="X409" s="159"/>
      <c r="Y409" s="159"/>
      <c r="Z409" s="159"/>
    </row>
    <row r="410" spans="1:26" ht="20" customHeight="1">
      <c r="A410" s="159"/>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c r="X410" s="159"/>
      <c r="Y410" s="159"/>
      <c r="Z410" s="159"/>
    </row>
    <row r="411" spans="1:26" ht="20" customHeight="1">
      <c r="A411" s="159"/>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c r="X411" s="159"/>
      <c r="Y411" s="159"/>
      <c r="Z411" s="159"/>
    </row>
    <row r="412" spans="1:26" ht="20" customHeight="1">
      <c r="A412" s="159"/>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c r="X412" s="159"/>
      <c r="Y412" s="159"/>
      <c r="Z412" s="159"/>
    </row>
    <row r="413" spans="1:26" ht="20" customHeight="1">
      <c r="A413" s="159"/>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c r="X413" s="159"/>
      <c r="Y413" s="159"/>
      <c r="Z413" s="159"/>
    </row>
    <row r="414" spans="1:26" ht="20" customHeight="1">
      <c r="A414" s="159"/>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c r="X414" s="159"/>
      <c r="Y414" s="159"/>
      <c r="Z414" s="159"/>
    </row>
    <row r="415" spans="1:26" ht="20" customHeight="1">
      <c r="A415" s="159"/>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c r="X415" s="159"/>
      <c r="Y415" s="159"/>
      <c r="Z415" s="159"/>
    </row>
    <row r="416" spans="1:26" ht="20" customHeight="1">
      <c r="A416" s="159"/>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c r="X416" s="159"/>
      <c r="Y416" s="159"/>
      <c r="Z416" s="159"/>
    </row>
    <row r="417" spans="1:26" ht="20" customHeight="1">
      <c r="A417" s="159"/>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c r="X417" s="159"/>
      <c r="Y417" s="159"/>
      <c r="Z417" s="159"/>
    </row>
    <row r="418" spans="1:26" ht="20" customHeight="1">
      <c r="A418" s="159"/>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c r="X418" s="159"/>
      <c r="Y418" s="159"/>
      <c r="Z418" s="159"/>
    </row>
    <row r="419" spans="1:26" ht="20" customHeight="1">
      <c r="A419" s="159"/>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c r="X419" s="159"/>
      <c r="Y419" s="159"/>
      <c r="Z419" s="159"/>
    </row>
    <row r="420" spans="1:26" ht="20" customHeight="1">
      <c r="A420" s="159"/>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c r="X420" s="159"/>
      <c r="Y420" s="159"/>
      <c r="Z420" s="159"/>
    </row>
    <row r="421" spans="1:26" ht="20" customHeight="1">
      <c r="A421" s="159"/>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c r="X421" s="159"/>
      <c r="Y421" s="159"/>
      <c r="Z421" s="159"/>
    </row>
    <row r="422" spans="1:26" ht="20" customHeight="1">
      <c r="A422" s="159"/>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c r="X422" s="159"/>
      <c r="Y422" s="159"/>
      <c r="Z422" s="159"/>
    </row>
    <row r="423" spans="1:26" ht="20" customHeight="1">
      <c r="A423" s="159"/>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c r="X423" s="159"/>
      <c r="Y423" s="159"/>
      <c r="Z423" s="159"/>
    </row>
    <row r="424" spans="1:26" ht="20" customHeight="1">
      <c r="A424" s="159"/>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c r="X424" s="159"/>
      <c r="Y424" s="159"/>
      <c r="Z424" s="159"/>
    </row>
    <row r="425" spans="1:26" ht="20" customHeight="1">
      <c r="A425" s="159"/>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c r="X425" s="159"/>
      <c r="Y425" s="159"/>
      <c r="Z425" s="159"/>
    </row>
    <row r="426" spans="1:26" ht="20" customHeight="1">
      <c r="A426" s="159"/>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c r="X426" s="159"/>
      <c r="Y426" s="159"/>
      <c r="Z426" s="159"/>
    </row>
    <row r="427" spans="1:26" ht="20" customHeight="1">
      <c r="A427" s="159"/>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c r="X427" s="159"/>
      <c r="Y427" s="159"/>
      <c r="Z427" s="159"/>
    </row>
    <row r="428" spans="1:26" ht="20" customHeight="1">
      <c r="A428" s="159"/>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c r="X428" s="159"/>
      <c r="Y428" s="159"/>
      <c r="Z428" s="159"/>
    </row>
    <row r="429" spans="1:26" ht="20" customHeight="1">
      <c r="A429" s="159"/>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c r="X429" s="159"/>
      <c r="Y429" s="159"/>
      <c r="Z429" s="159"/>
    </row>
    <row r="430" spans="1:26" ht="20" customHeight="1">
      <c r="A430" s="159"/>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c r="X430" s="159"/>
      <c r="Y430" s="159"/>
      <c r="Z430" s="159"/>
    </row>
    <row r="431" spans="1:26" ht="20" customHeight="1">
      <c r="A431" s="159"/>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c r="X431" s="159"/>
      <c r="Y431" s="159"/>
      <c r="Z431" s="159"/>
    </row>
    <row r="432" spans="1:26" ht="20" customHeight="1">
      <c r="A432" s="159"/>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c r="X432" s="159"/>
      <c r="Y432" s="159"/>
      <c r="Z432" s="159"/>
    </row>
    <row r="433" spans="1:26" ht="20" customHeight="1">
      <c r="A433" s="159"/>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c r="X433" s="159"/>
      <c r="Y433" s="159"/>
      <c r="Z433" s="159"/>
    </row>
    <row r="434" spans="1:26" ht="20" customHeight="1">
      <c r="A434" s="159"/>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c r="X434" s="159"/>
      <c r="Y434" s="159"/>
      <c r="Z434" s="159"/>
    </row>
    <row r="435" spans="1:26" ht="20" customHeight="1">
      <c r="A435" s="159"/>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c r="X435" s="159"/>
      <c r="Y435" s="159"/>
      <c r="Z435" s="159"/>
    </row>
    <row r="436" spans="1:26" ht="20" customHeight="1">
      <c r="A436" s="159"/>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c r="X436" s="159"/>
      <c r="Y436" s="159"/>
      <c r="Z436" s="159"/>
    </row>
    <row r="437" spans="1:26" ht="20" customHeight="1">
      <c r="A437" s="159"/>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c r="X437" s="159"/>
      <c r="Y437" s="159"/>
      <c r="Z437" s="159"/>
    </row>
    <row r="438" spans="1:26" ht="20" customHeight="1">
      <c r="A438" s="159"/>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c r="X438" s="159"/>
      <c r="Y438" s="159"/>
      <c r="Z438" s="159"/>
    </row>
    <row r="439" spans="1:26" ht="20" customHeight="1">
      <c r="A439" s="159"/>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c r="X439" s="159"/>
      <c r="Y439" s="159"/>
      <c r="Z439" s="159"/>
    </row>
    <row r="440" spans="1:26" ht="20" customHeight="1">
      <c r="A440" s="159"/>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c r="X440" s="159"/>
      <c r="Y440" s="159"/>
      <c r="Z440" s="159"/>
    </row>
    <row r="441" spans="1:26" ht="20" customHeight="1">
      <c r="A441" s="159"/>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c r="X441" s="159"/>
      <c r="Y441" s="159"/>
      <c r="Z441" s="159"/>
    </row>
    <row r="442" spans="1:26" ht="20" customHeight="1">
      <c r="A442" s="159"/>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c r="X442" s="159"/>
      <c r="Y442" s="159"/>
      <c r="Z442" s="159"/>
    </row>
    <row r="443" spans="1:26" ht="20" customHeight="1">
      <c r="A443" s="159"/>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c r="X443" s="159"/>
      <c r="Y443" s="159"/>
      <c r="Z443" s="159"/>
    </row>
    <row r="444" spans="1:26" ht="20" customHeight="1">
      <c r="A444" s="159"/>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c r="X444" s="159"/>
      <c r="Y444" s="159"/>
      <c r="Z444" s="159"/>
    </row>
    <row r="445" spans="1:26" ht="20" customHeight="1">
      <c r="A445" s="159"/>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c r="X445" s="159"/>
      <c r="Y445" s="159"/>
      <c r="Z445" s="159"/>
    </row>
    <row r="446" spans="1:26" ht="20" customHeight="1">
      <c r="A446" s="159"/>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c r="X446" s="159"/>
      <c r="Y446" s="159"/>
      <c r="Z446" s="159"/>
    </row>
    <row r="447" spans="1:26" ht="20" customHeight="1">
      <c r="A447" s="159"/>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c r="X447" s="159"/>
      <c r="Y447" s="159"/>
      <c r="Z447" s="159"/>
    </row>
    <row r="448" spans="1:26" ht="20" customHeight="1">
      <c r="A448" s="159"/>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c r="X448" s="159"/>
      <c r="Y448" s="159"/>
      <c r="Z448" s="159"/>
    </row>
    <row r="449" spans="1:26" ht="20" customHeight="1">
      <c r="A449" s="159"/>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c r="X449" s="159"/>
      <c r="Y449" s="159"/>
      <c r="Z449" s="159"/>
    </row>
    <row r="450" spans="1:26" ht="20" customHeight="1">
      <c r="A450" s="159"/>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c r="X450" s="159"/>
      <c r="Y450" s="159"/>
      <c r="Z450" s="159"/>
    </row>
    <row r="451" spans="1:26" ht="20" customHeight="1">
      <c r="A451" s="159"/>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c r="X451" s="159"/>
      <c r="Y451" s="159"/>
      <c r="Z451" s="159"/>
    </row>
    <row r="452" spans="1:26" ht="20" customHeight="1">
      <c r="A452" s="159"/>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c r="X452" s="159"/>
      <c r="Y452" s="159"/>
      <c r="Z452" s="159"/>
    </row>
    <row r="453" spans="1:26" ht="20" customHeight="1">
      <c r="A453" s="159"/>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c r="X453" s="159"/>
      <c r="Y453" s="159"/>
      <c r="Z453" s="159"/>
    </row>
    <row r="454" spans="1:26" ht="20" customHeight="1">
      <c r="A454" s="159"/>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c r="X454" s="159"/>
      <c r="Y454" s="159"/>
      <c r="Z454" s="159"/>
    </row>
    <row r="455" spans="1:26" ht="20" customHeight="1">
      <c r="A455" s="159"/>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c r="X455" s="159"/>
      <c r="Y455" s="159"/>
      <c r="Z455" s="159"/>
    </row>
    <row r="456" spans="1:26" ht="20" customHeight="1">
      <c r="A456" s="159"/>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c r="X456" s="159"/>
      <c r="Y456" s="159"/>
      <c r="Z456" s="159"/>
    </row>
    <row r="457" spans="1:26" ht="20" customHeight="1">
      <c r="A457" s="159"/>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c r="X457" s="159"/>
      <c r="Y457" s="159"/>
      <c r="Z457" s="159"/>
    </row>
    <row r="458" spans="1:26" ht="20" customHeight="1">
      <c r="A458" s="159"/>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c r="X458" s="159"/>
      <c r="Y458" s="159"/>
      <c r="Z458" s="159"/>
    </row>
    <row r="459" spans="1:26" ht="20" customHeight="1">
      <c r="A459" s="159"/>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c r="X459" s="159"/>
      <c r="Y459" s="159"/>
      <c r="Z459" s="159"/>
    </row>
    <row r="460" spans="1:26" ht="20" customHeight="1">
      <c r="A460" s="159"/>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c r="X460" s="159"/>
      <c r="Y460" s="159"/>
      <c r="Z460" s="159"/>
    </row>
    <row r="461" spans="1:26" ht="20" customHeight="1">
      <c r="A461" s="159"/>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c r="X461" s="159"/>
      <c r="Y461" s="159"/>
      <c r="Z461" s="159"/>
    </row>
    <row r="462" spans="1:26" ht="20" customHeight="1">
      <c r="A462" s="159"/>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c r="X462" s="159"/>
      <c r="Y462" s="159"/>
      <c r="Z462" s="159"/>
    </row>
    <row r="463" spans="1:26" ht="20" customHeight="1">
      <c r="A463" s="159"/>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c r="X463" s="159"/>
      <c r="Y463" s="159"/>
      <c r="Z463" s="159"/>
    </row>
    <row r="464" spans="1:26" ht="20" customHeight="1">
      <c r="A464" s="159"/>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c r="X464" s="159"/>
      <c r="Y464" s="159"/>
      <c r="Z464" s="159"/>
    </row>
    <row r="465" spans="1:26" ht="20" customHeight="1">
      <c r="A465" s="159"/>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c r="X465" s="159"/>
      <c r="Y465" s="159"/>
      <c r="Z465" s="159"/>
    </row>
    <row r="466" spans="1:26" ht="20" customHeight="1">
      <c r="A466" s="159"/>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c r="X466" s="159"/>
      <c r="Y466" s="159"/>
      <c r="Z466" s="159"/>
    </row>
    <row r="467" spans="1:26" ht="20" customHeight="1">
      <c r="A467" s="159"/>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c r="X467" s="159"/>
      <c r="Y467" s="159"/>
      <c r="Z467" s="159"/>
    </row>
    <row r="468" spans="1:26" ht="20" customHeight="1">
      <c r="A468" s="159"/>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c r="X468" s="159"/>
      <c r="Y468" s="159"/>
      <c r="Z468" s="159"/>
    </row>
    <row r="469" spans="1:26" ht="20" customHeight="1">
      <c r="A469" s="159"/>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c r="X469" s="159"/>
      <c r="Y469" s="159"/>
      <c r="Z469" s="159"/>
    </row>
    <row r="470" spans="1:26" ht="20" customHeight="1">
      <c r="A470" s="159"/>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c r="X470" s="159"/>
      <c r="Y470" s="159"/>
      <c r="Z470" s="159"/>
    </row>
    <row r="471" spans="1:26" ht="20" customHeight="1">
      <c r="A471" s="159"/>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c r="X471" s="159"/>
      <c r="Y471" s="159"/>
      <c r="Z471" s="159"/>
    </row>
    <row r="472" spans="1:26" ht="20" customHeight="1">
      <c r="A472" s="159"/>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c r="X472" s="159"/>
      <c r="Y472" s="159"/>
      <c r="Z472" s="159"/>
    </row>
    <row r="473" spans="1:26" ht="20" customHeight="1">
      <c r="A473" s="159"/>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c r="X473" s="159"/>
      <c r="Y473" s="159"/>
      <c r="Z473" s="159"/>
    </row>
    <row r="474" spans="1:26" ht="20" customHeight="1">
      <c r="A474" s="159"/>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c r="X474" s="159"/>
      <c r="Y474" s="159"/>
      <c r="Z474" s="159"/>
    </row>
    <row r="475" spans="1:26" ht="20" customHeight="1">
      <c r="A475" s="159"/>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c r="X475" s="159"/>
      <c r="Y475" s="159"/>
      <c r="Z475" s="159"/>
    </row>
    <row r="476" spans="1:26" ht="20" customHeight="1">
      <c r="A476" s="159"/>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c r="X476" s="159"/>
      <c r="Y476" s="159"/>
      <c r="Z476" s="159"/>
    </row>
    <row r="477" spans="1:26" ht="20" customHeight="1">
      <c r="A477" s="159"/>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c r="X477" s="159"/>
      <c r="Y477" s="159"/>
      <c r="Z477" s="159"/>
    </row>
    <row r="478" spans="1:26" ht="20" customHeight="1">
      <c r="A478" s="159"/>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c r="X478" s="159"/>
      <c r="Y478" s="159"/>
      <c r="Z478" s="159"/>
    </row>
    <row r="479" spans="1:26" ht="20" customHeight="1">
      <c r="A479" s="159"/>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c r="X479" s="159"/>
      <c r="Y479" s="159"/>
      <c r="Z479" s="159"/>
    </row>
    <row r="480" spans="1:26" ht="20" customHeight="1">
      <c r="A480" s="159"/>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c r="X480" s="159"/>
      <c r="Y480" s="159"/>
      <c r="Z480" s="159"/>
    </row>
    <row r="481" spans="1:26" ht="20" customHeight="1">
      <c r="A481" s="159"/>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c r="X481" s="159"/>
      <c r="Y481" s="159"/>
      <c r="Z481" s="159"/>
    </row>
    <row r="482" spans="1:26" ht="20" customHeight="1">
      <c r="A482" s="159"/>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c r="X482" s="159"/>
      <c r="Y482" s="159"/>
      <c r="Z482" s="159"/>
    </row>
    <row r="483" spans="1:26" ht="20" customHeight="1">
      <c r="A483" s="159"/>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c r="X483" s="159"/>
      <c r="Y483" s="159"/>
      <c r="Z483" s="159"/>
    </row>
    <row r="484" spans="1:26" ht="20" customHeight="1">
      <c r="A484" s="159"/>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c r="X484" s="159"/>
      <c r="Y484" s="159"/>
      <c r="Z484" s="159"/>
    </row>
    <row r="485" spans="1:26" ht="20" customHeight="1">
      <c r="A485" s="159"/>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c r="X485" s="159"/>
      <c r="Y485" s="159"/>
      <c r="Z485" s="159"/>
    </row>
    <row r="486" spans="1:26" ht="20" customHeight="1">
      <c r="A486" s="159"/>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c r="X486" s="159"/>
      <c r="Y486" s="159"/>
      <c r="Z486" s="159"/>
    </row>
    <row r="487" spans="1:26" ht="20" customHeight="1">
      <c r="A487" s="159"/>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c r="X487" s="159"/>
      <c r="Y487" s="159"/>
      <c r="Z487" s="159"/>
    </row>
    <row r="488" spans="1:26" ht="20" customHeight="1">
      <c r="A488" s="159"/>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c r="X488" s="159"/>
      <c r="Y488" s="159"/>
      <c r="Z488" s="159"/>
    </row>
    <row r="489" spans="1:26" ht="20" customHeight="1">
      <c r="A489" s="159"/>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c r="X489" s="159"/>
      <c r="Y489" s="159"/>
      <c r="Z489" s="159"/>
    </row>
    <row r="490" spans="1:26" ht="20" customHeight="1">
      <c r="A490" s="159"/>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c r="X490" s="159"/>
      <c r="Y490" s="159"/>
      <c r="Z490" s="159"/>
    </row>
    <row r="491" spans="1:26" ht="20" customHeight="1">
      <c r="A491" s="159"/>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c r="X491" s="159"/>
      <c r="Y491" s="159"/>
      <c r="Z491" s="159"/>
    </row>
    <row r="492" spans="1:26" ht="20" customHeight="1">
      <c r="A492" s="159"/>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c r="X492" s="159"/>
      <c r="Y492" s="159"/>
      <c r="Z492" s="159"/>
    </row>
    <row r="493" spans="1:26" ht="20" customHeight="1">
      <c r="A493" s="159"/>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c r="X493" s="159"/>
      <c r="Y493" s="159"/>
      <c r="Z493" s="159"/>
    </row>
    <row r="494" spans="1:26" ht="20" customHeight="1">
      <c r="A494" s="159"/>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c r="X494" s="159"/>
      <c r="Y494" s="159"/>
      <c r="Z494" s="159"/>
    </row>
    <row r="495" spans="1:26" ht="20" customHeight="1">
      <c r="A495" s="159"/>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c r="X495" s="159"/>
      <c r="Y495" s="159"/>
      <c r="Z495" s="159"/>
    </row>
    <row r="496" spans="1:26" ht="20" customHeight="1">
      <c r="A496" s="159"/>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c r="X496" s="159"/>
      <c r="Y496" s="159"/>
      <c r="Z496" s="159"/>
    </row>
    <row r="497" spans="1:26" ht="20" customHeight="1">
      <c r="A497" s="159"/>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c r="X497" s="159"/>
      <c r="Y497" s="159"/>
      <c r="Z497" s="159"/>
    </row>
    <row r="498" spans="1:26" ht="20" customHeight="1">
      <c r="A498" s="159"/>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c r="X498" s="159"/>
      <c r="Y498" s="159"/>
      <c r="Z498" s="159"/>
    </row>
    <row r="499" spans="1:26" ht="20" customHeight="1">
      <c r="A499" s="159"/>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c r="X499" s="159"/>
      <c r="Y499" s="159"/>
      <c r="Z499" s="159"/>
    </row>
    <row r="500" spans="1:26" ht="20" customHeight="1">
      <c r="A500" s="159"/>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c r="X500" s="159"/>
      <c r="Y500" s="159"/>
      <c r="Z500" s="159"/>
    </row>
    <row r="501" spans="1:26" ht="20" customHeight="1">
      <c r="A501" s="159"/>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c r="X501" s="159"/>
      <c r="Y501" s="159"/>
      <c r="Z501" s="159"/>
    </row>
    <row r="502" spans="1:26" ht="20" customHeight="1">
      <c r="A502" s="159"/>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c r="X502" s="159"/>
      <c r="Y502" s="159"/>
      <c r="Z502" s="159"/>
    </row>
    <row r="503" spans="1:26" ht="20" customHeight="1">
      <c r="A503" s="159"/>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c r="X503" s="159"/>
      <c r="Y503" s="159"/>
      <c r="Z503" s="159"/>
    </row>
    <row r="504" spans="1:26" ht="20" customHeight="1">
      <c r="A504" s="159"/>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c r="X504" s="159"/>
      <c r="Y504" s="159"/>
      <c r="Z504" s="159"/>
    </row>
    <row r="505" spans="1:26" ht="20" customHeight="1">
      <c r="A505" s="159"/>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c r="X505" s="159"/>
      <c r="Y505" s="159"/>
      <c r="Z505" s="159"/>
    </row>
    <row r="506" spans="1:26" ht="20" customHeight="1">
      <c r="A506" s="159"/>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c r="X506" s="159"/>
      <c r="Y506" s="159"/>
      <c r="Z506" s="159"/>
    </row>
    <row r="507" spans="1:26" ht="20" customHeight="1">
      <c r="A507" s="159"/>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c r="X507" s="159"/>
      <c r="Y507" s="159"/>
      <c r="Z507" s="159"/>
    </row>
    <row r="508" spans="1:26" ht="20" customHeight="1">
      <c r="A508" s="159"/>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c r="X508" s="159"/>
      <c r="Y508" s="159"/>
      <c r="Z508" s="159"/>
    </row>
    <row r="509" spans="1:26" ht="20" customHeight="1">
      <c r="A509" s="159"/>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c r="X509" s="159"/>
      <c r="Y509" s="159"/>
      <c r="Z509" s="159"/>
    </row>
    <row r="510" spans="1:26" ht="20" customHeight="1">
      <c r="A510" s="159"/>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c r="X510" s="159"/>
      <c r="Y510" s="159"/>
      <c r="Z510" s="159"/>
    </row>
    <row r="511" spans="1:26" ht="20" customHeight="1">
      <c r="A511" s="159"/>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c r="X511" s="159"/>
      <c r="Y511" s="159"/>
      <c r="Z511" s="159"/>
    </row>
    <row r="512" spans="1:26" ht="20" customHeight="1">
      <c r="A512" s="159"/>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c r="X512" s="159"/>
      <c r="Y512" s="159"/>
      <c r="Z512" s="159"/>
    </row>
    <row r="513" spans="1:26" ht="20" customHeight="1">
      <c r="A513" s="159"/>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c r="X513" s="159"/>
      <c r="Y513" s="159"/>
      <c r="Z513" s="159"/>
    </row>
    <row r="514" spans="1:26" ht="20" customHeight="1">
      <c r="A514" s="159"/>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c r="X514" s="159"/>
      <c r="Y514" s="159"/>
      <c r="Z514" s="159"/>
    </row>
    <row r="515" spans="1:26" ht="20" customHeight="1">
      <c r="A515" s="159"/>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c r="X515" s="159"/>
      <c r="Y515" s="159"/>
      <c r="Z515" s="159"/>
    </row>
    <row r="516" spans="1:26" ht="20" customHeight="1">
      <c r="A516" s="159"/>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c r="X516" s="159"/>
      <c r="Y516" s="159"/>
      <c r="Z516" s="159"/>
    </row>
    <row r="517" spans="1:26" ht="20" customHeight="1">
      <c r="A517" s="159"/>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c r="X517" s="159"/>
      <c r="Y517" s="159"/>
      <c r="Z517" s="159"/>
    </row>
    <row r="518" spans="1:26" ht="20" customHeight="1">
      <c r="A518" s="159"/>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c r="X518" s="159"/>
      <c r="Y518" s="159"/>
      <c r="Z518" s="159"/>
    </row>
    <row r="519" spans="1:26" ht="20" customHeight="1">
      <c r="A519" s="159"/>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c r="X519" s="159"/>
      <c r="Y519" s="159"/>
      <c r="Z519" s="159"/>
    </row>
    <row r="520" spans="1:26" ht="20" customHeight="1">
      <c r="A520" s="159"/>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c r="X520" s="159"/>
      <c r="Y520" s="159"/>
      <c r="Z520" s="159"/>
    </row>
    <row r="521" spans="1:26" ht="20" customHeight="1">
      <c r="A521" s="159"/>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c r="X521" s="159"/>
      <c r="Y521" s="159"/>
      <c r="Z521" s="159"/>
    </row>
    <row r="522" spans="1:26" ht="20" customHeight="1">
      <c r="A522" s="159"/>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c r="X522" s="159"/>
      <c r="Y522" s="159"/>
      <c r="Z522" s="159"/>
    </row>
    <row r="523" spans="1:26" ht="20" customHeight="1">
      <c r="A523" s="159"/>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c r="X523" s="159"/>
      <c r="Y523" s="159"/>
      <c r="Z523" s="159"/>
    </row>
    <row r="524" spans="1:26" ht="20" customHeight="1">
      <c r="A524" s="159"/>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c r="X524" s="159"/>
      <c r="Y524" s="159"/>
      <c r="Z524" s="159"/>
    </row>
    <row r="525" spans="1:26" ht="20" customHeight="1">
      <c r="A525" s="159"/>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c r="X525" s="159"/>
      <c r="Y525" s="159"/>
      <c r="Z525" s="159"/>
    </row>
    <row r="526" spans="1:26" ht="20" customHeight="1">
      <c r="A526" s="159"/>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c r="X526" s="159"/>
      <c r="Y526" s="159"/>
      <c r="Z526" s="159"/>
    </row>
    <row r="527" spans="1:26" ht="20" customHeight="1">
      <c r="A527" s="159"/>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c r="X527" s="159"/>
      <c r="Y527" s="159"/>
      <c r="Z527" s="159"/>
    </row>
    <row r="528" spans="1:26" ht="20" customHeight="1">
      <c r="A528" s="159"/>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c r="X528" s="159"/>
      <c r="Y528" s="159"/>
      <c r="Z528" s="159"/>
    </row>
    <row r="529" spans="1:26" ht="20" customHeight="1">
      <c r="A529" s="159"/>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c r="X529" s="159"/>
      <c r="Y529" s="159"/>
      <c r="Z529" s="159"/>
    </row>
    <row r="530" spans="1:26" ht="20" customHeight="1">
      <c r="A530" s="159"/>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c r="X530" s="159"/>
      <c r="Y530" s="159"/>
      <c r="Z530" s="159"/>
    </row>
    <row r="531" spans="1:26" ht="20" customHeight="1">
      <c r="A531" s="159"/>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c r="X531" s="159"/>
      <c r="Y531" s="159"/>
      <c r="Z531" s="159"/>
    </row>
    <row r="532" spans="1:26" ht="20" customHeight="1">
      <c r="A532" s="159"/>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c r="X532" s="159"/>
      <c r="Y532" s="159"/>
      <c r="Z532" s="159"/>
    </row>
    <row r="533" spans="1:26" ht="20" customHeight="1">
      <c r="A533" s="159"/>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c r="X533" s="159"/>
      <c r="Y533" s="159"/>
      <c r="Z533" s="159"/>
    </row>
    <row r="534" spans="1:26" ht="20" customHeight="1">
      <c r="A534" s="159"/>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c r="X534" s="159"/>
      <c r="Y534" s="159"/>
      <c r="Z534" s="159"/>
    </row>
    <row r="535" spans="1:26" ht="20" customHeight="1">
      <c r="A535" s="159"/>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c r="X535" s="159"/>
      <c r="Y535" s="159"/>
      <c r="Z535" s="159"/>
    </row>
    <row r="536" spans="1:26" ht="20" customHeight="1">
      <c r="A536" s="159"/>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c r="X536" s="159"/>
      <c r="Y536" s="159"/>
      <c r="Z536" s="159"/>
    </row>
    <row r="537" spans="1:26" ht="20" customHeight="1">
      <c r="A537" s="159"/>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c r="X537" s="159"/>
      <c r="Y537" s="159"/>
      <c r="Z537" s="159"/>
    </row>
    <row r="538" spans="1:26" ht="20" customHeight="1">
      <c r="A538" s="159"/>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c r="X538" s="159"/>
      <c r="Y538" s="159"/>
      <c r="Z538" s="159"/>
    </row>
    <row r="539" spans="1:26" ht="20" customHeight="1">
      <c r="A539" s="159"/>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c r="X539" s="159"/>
      <c r="Y539" s="159"/>
      <c r="Z539" s="159"/>
    </row>
    <row r="540" spans="1:26" ht="20" customHeight="1">
      <c r="A540" s="159"/>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c r="X540" s="159"/>
      <c r="Y540" s="159"/>
      <c r="Z540" s="159"/>
    </row>
    <row r="541" spans="1:26" ht="20" customHeight="1">
      <c r="A541" s="159"/>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c r="X541" s="159"/>
      <c r="Y541" s="159"/>
      <c r="Z541" s="159"/>
    </row>
    <row r="542" spans="1:26" ht="20" customHeight="1">
      <c r="A542" s="159"/>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c r="X542" s="159"/>
      <c r="Y542" s="159"/>
      <c r="Z542" s="159"/>
    </row>
    <row r="543" spans="1:26" ht="20" customHeight="1">
      <c r="A543" s="159"/>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c r="X543" s="159"/>
      <c r="Y543" s="159"/>
      <c r="Z543" s="159"/>
    </row>
    <row r="544" spans="1:26" ht="20" customHeight="1">
      <c r="A544" s="159"/>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c r="X544" s="159"/>
      <c r="Y544" s="159"/>
      <c r="Z544" s="159"/>
    </row>
    <row r="545" spans="1:26" ht="20" customHeight="1">
      <c r="A545" s="159"/>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c r="X545" s="159"/>
      <c r="Y545" s="159"/>
      <c r="Z545" s="159"/>
    </row>
    <row r="546" spans="1:26" ht="20" customHeight="1">
      <c r="A546" s="159"/>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c r="X546" s="159"/>
      <c r="Y546" s="159"/>
      <c r="Z546" s="159"/>
    </row>
    <row r="547" spans="1:26" ht="20" customHeight="1">
      <c r="A547" s="159"/>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c r="X547" s="159"/>
      <c r="Y547" s="159"/>
      <c r="Z547" s="159"/>
    </row>
    <row r="548" spans="1:26" ht="20" customHeight="1">
      <c r="A548" s="159"/>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c r="X548" s="159"/>
      <c r="Y548" s="159"/>
      <c r="Z548" s="159"/>
    </row>
    <row r="549" spans="1:26" ht="20" customHeight="1">
      <c r="A549" s="159"/>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c r="X549" s="159"/>
      <c r="Y549" s="159"/>
      <c r="Z549" s="159"/>
    </row>
    <row r="550" spans="1:26" ht="20" customHeight="1">
      <c r="A550" s="159"/>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c r="X550" s="159"/>
      <c r="Y550" s="159"/>
      <c r="Z550" s="159"/>
    </row>
    <row r="551" spans="1:26" ht="20" customHeight="1">
      <c r="A551" s="159"/>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c r="X551" s="159"/>
      <c r="Y551" s="159"/>
      <c r="Z551" s="159"/>
    </row>
    <row r="552" spans="1:26" ht="20" customHeight="1">
      <c r="A552" s="159"/>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c r="X552" s="159"/>
      <c r="Y552" s="159"/>
      <c r="Z552" s="159"/>
    </row>
    <row r="553" spans="1:26" ht="20" customHeight="1">
      <c r="A553" s="159"/>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c r="X553" s="159"/>
      <c r="Y553" s="159"/>
      <c r="Z553" s="159"/>
    </row>
    <row r="554" spans="1:26" ht="20" customHeight="1">
      <c r="A554" s="159"/>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c r="X554" s="159"/>
      <c r="Y554" s="159"/>
      <c r="Z554" s="159"/>
    </row>
    <row r="555" spans="1:26" ht="20" customHeight="1">
      <c r="A555" s="159"/>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c r="X555" s="159"/>
      <c r="Y555" s="159"/>
      <c r="Z555" s="159"/>
    </row>
    <row r="556" spans="1:26" ht="20" customHeight="1">
      <c r="A556" s="159"/>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c r="X556" s="159"/>
      <c r="Y556" s="159"/>
      <c r="Z556" s="159"/>
    </row>
    <row r="557" spans="1:26" ht="20" customHeight="1">
      <c r="A557" s="159"/>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c r="X557" s="159"/>
      <c r="Y557" s="159"/>
      <c r="Z557" s="159"/>
    </row>
    <row r="558" spans="1:26" ht="20" customHeight="1">
      <c r="A558" s="159"/>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c r="X558" s="159"/>
      <c r="Y558" s="159"/>
      <c r="Z558" s="159"/>
    </row>
    <row r="559" spans="1:26" ht="20" customHeight="1">
      <c r="A559" s="159"/>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c r="X559" s="159"/>
      <c r="Y559" s="159"/>
      <c r="Z559" s="159"/>
    </row>
    <row r="560" spans="1:26" ht="20" customHeight="1">
      <c r="A560" s="159"/>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c r="X560" s="159"/>
      <c r="Y560" s="159"/>
      <c r="Z560" s="159"/>
    </row>
    <row r="561" spans="1:26" ht="20" customHeight="1">
      <c r="A561" s="159"/>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c r="X561" s="159"/>
      <c r="Y561" s="159"/>
      <c r="Z561" s="159"/>
    </row>
    <row r="562" spans="1:26" ht="20" customHeight="1">
      <c r="A562" s="159"/>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c r="X562" s="159"/>
      <c r="Y562" s="159"/>
      <c r="Z562" s="159"/>
    </row>
    <row r="563" spans="1:26" ht="20" customHeight="1">
      <c r="A563" s="159"/>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c r="X563" s="159"/>
      <c r="Y563" s="159"/>
      <c r="Z563" s="159"/>
    </row>
    <row r="564" spans="1:26" ht="20" customHeight="1">
      <c r="A564" s="159"/>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c r="X564" s="159"/>
      <c r="Y564" s="159"/>
      <c r="Z564" s="159"/>
    </row>
    <row r="565" spans="1:26" ht="20" customHeight="1">
      <c r="A565" s="159"/>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c r="X565" s="159"/>
      <c r="Y565" s="159"/>
      <c r="Z565" s="159"/>
    </row>
    <row r="566" spans="1:26" ht="20" customHeight="1">
      <c r="A566" s="159"/>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c r="X566" s="159"/>
      <c r="Y566" s="159"/>
      <c r="Z566" s="159"/>
    </row>
    <row r="567" spans="1:26" ht="20" customHeight="1">
      <c r="A567" s="159"/>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c r="X567" s="159"/>
      <c r="Y567" s="159"/>
      <c r="Z567" s="159"/>
    </row>
    <row r="568" spans="1:26" ht="20" customHeight="1">
      <c r="A568" s="159"/>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c r="X568" s="159"/>
      <c r="Y568" s="159"/>
      <c r="Z568" s="159"/>
    </row>
    <row r="569" spans="1:26" ht="20" customHeight="1">
      <c r="A569" s="159"/>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c r="X569" s="159"/>
      <c r="Y569" s="159"/>
      <c r="Z569" s="159"/>
    </row>
    <row r="570" spans="1:26" ht="20" customHeight="1">
      <c r="A570" s="159"/>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c r="X570" s="159"/>
      <c r="Y570" s="159"/>
      <c r="Z570" s="159"/>
    </row>
    <row r="571" spans="1:26" ht="20" customHeight="1">
      <c r="A571" s="159"/>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c r="X571" s="159"/>
      <c r="Y571" s="159"/>
      <c r="Z571" s="159"/>
    </row>
    <row r="572" spans="1:26" ht="20" customHeight="1">
      <c r="A572" s="159"/>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c r="X572" s="159"/>
      <c r="Y572" s="159"/>
      <c r="Z572" s="159"/>
    </row>
    <row r="573" spans="1:26" ht="20" customHeight="1">
      <c r="A573" s="159"/>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c r="X573" s="159"/>
      <c r="Y573" s="159"/>
      <c r="Z573" s="159"/>
    </row>
    <row r="574" spans="1:26" ht="20" customHeight="1">
      <c r="A574" s="159"/>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c r="X574" s="159"/>
      <c r="Y574" s="159"/>
      <c r="Z574" s="159"/>
    </row>
    <row r="575" spans="1:26" ht="20" customHeight="1">
      <c r="A575" s="159"/>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c r="X575" s="159"/>
      <c r="Y575" s="159"/>
      <c r="Z575" s="159"/>
    </row>
    <row r="576" spans="1:26" ht="20" customHeight="1">
      <c r="A576" s="159"/>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c r="X576" s="159"/>
      <c r="Y576" s="159"/>
      <c r="Z576" s="159"/>
    </row>
    <row r="577" spans="1:26" ht="20" customHeight="1">
      <c r="A577" s="159"/>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c r="X577" s="159"/>
      <c r="Y577" s="159"/>
      <c r="Z577" s="159"/>
    </row>
    <row r="578" spans="1:26" ht="20" customHeight="1">
      <c r="A578" s="159"/>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c r="X578" s="159"/>
      <c r="Y578" s="159"/>
      <c r="Z578" s="159"/>
    </row>
    <row r="579" spans="1:26" ht="20" customHeight="1">
      <c r="A579" s="159"/>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c r="X579" s="159"/>
      <c r="Y579" s="159"/>
      <c r="Z579" s="159"/>
    </row>
    <row r="580" spans="1:26" ht="20" customHeight="1">
      <c r="A580" s="159"/>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c r="X580" s="159"/>
      <c r="Y580" s="159"/>
      <c r="Z580" s="159"/>
    </row>
    <row r="581" spans="1:26" ht="20" customHeight="1">
      <c r="A581" s="159"/>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c r="X581" s="159"/>
      <c r="Y581" s="159"/>
      <c r="Z581" s="159"/>
    </row>
    <row r="582" spans="1:26" ht="20" customHeight="1">
      <c r="A582" s="159"/>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c r="X582" s="159"/>
      <c r="Y582" s="159"/>
      <c r="Z582" s="159"/>
    </row>
    <row r="583" spans="1:26" ht="20" customHeight="1">
      <c r="A583" s="159"/>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c r="X583" s="159"/>
      <c r="Y583" s="159"/>
      <c r="Z583" s="159"/>
    </row>
    <row r="584" spans="1:26" ht="20" customHeight="1">
      <c r="A584" s="159"/>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c r="X584" s="159"/>
      <c r="Y584" s="159"/>
      <c r="Z584" s="159"/>
    </row>
    <row r="585" spans="1:26" ht="20" customHeight="1">
      <c r="A585" s="159"/>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c r="X585" s="159"/>
      <c r="Y585" s="159"/>
      <c r="Z585" s="159"/>
    </row>
    <row r="586" spans="1:26" ht="20" customHeight="1">
      <c r="A586" s="159"/>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c r="X586" s="159"/>
      <c r="Y586" s="159"/>
      <c r="Z586" s="159"/>
    </row>
    <row r="587" spans="1:26" ht="20" customHeight="1">
      <c r="A587" s="159"/>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c r="X587" s="159"/>
      <c r="Y587" s="159"/>
      <c r="Z587" s="159"/>
    </row>
    <row r="588" spans="1:26" ht="20" customHeight="1">
      <c r="A588" s="159"/>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c r="X588" s="159"/>
      <c r="Y588" s="159"/>
      <c r="Z588" s="159"/>
    </row>
    <row r="589" spans="1:26" ht="20" customHeight="1">
      <c r="A589" s="159"/>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c r="X589" s="159"/>
      <c r="Y589" s="159"/>
      <c r="Z589" s="159"/>
    </row>
    <row r="590" spans="1:26" ht="20" customHeight="1">
      <c r="A590" s="159"/>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c r="X590" s="159"/>
      <c r="Y590" s="159"/>
      <c r="Z590" s="159"/>
    </row>
    <row r="591" spans="1:26" ht="20" customHeight="1">
      <c r="A591" s="159"/>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c r="X591" s="159"/>
      <c r="Y591" s="159"/>
      <c r="Z591" s="159"/>
    </row>
    <row r="592" spans="1:26" ht="20" customHeight="1">
      <c r="A592" s="159"/>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c r="X592" s="159"/>
      <c r="Y592" s="159"/>
      <c r="Z592" s="159"/>
    </row>
    <row r="593" spans="1:26" ht="20" customHeight="1">
      <c r="A593" s="159"/>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c r="X593" s="159"/>
      <c r="Y593" s="159"/>
      <c r="Z593" s="159"/>
    </row>
    <row r="594" spans="1:26" ht="20" customHeight="1">
      <c r="A594" s="159"/>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c r="X594" s="159"/>
      <c r="Y594" s="159"/>
      <c r="Z594" s="159"/>
    </row>
    <row r="595" spans="1:26" ht="20" customHeight="1">
      <c r="A595" s="159"/>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c r="X595" s="159"/>
      <c r="Y595" s="159"/>
      <c r="Z595" s="159"/>
    </row>
    <row r="596" spans="1:26" ht="20" customHeight="1">
      <c r="A596" s="159"/>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c r="X596" s="159"/>
      <c r="Y596" s="159"/>
      <c r="Z596" s="159"/>
    </row>
    <row r="597" spans="1:26" ht="20" customHeight="1">
      <c r="A597" s="159"/>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c r="X597" s="159"/>
      <c r="Y597" s="159"/>
      <c r="Z597" s="159"/>
    </row>
    <row r="598" spans="1:26" ht="20" customHeight="1">
      <c r="A598" s="159"/>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c r="X598" s="159"/>
      <c r="Y598" s="159"/>
      <c r="Z598" s="159"/>
    </row>
    <row r="599" spans="1:26" ht="20" customHeight="1">
      <c r="A599" s="159"/>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c r="X599" s="159"/>
      <c r="Y599" s="159"/>
      <c r="Z599" s="159"/>
    </row>
    <row r="600" spans="1:26" ht="20" customHeight="1">
      <c r="A600" s="159"/>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c r="X600" s="159"/>
      <c r="Y600" s="159"/>
      <c r="Z600" s="159"/>
    </row>
    <row r="601" spans="1:26" ht="20" customHeight="1">
      <c r="A601" s="159"/>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c r="X601" s="159"/>
      <c r="Y601" s="159"/>
      <c r="Z601" s="159"/>
    </row>
    <row r="602" spans="1:26" ht="20" customHeight="1">
      <c r="A602" s="159"/>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c r="X602" s="159"/>
      <c r="Y602" s="159"/>
      <c r="Z602" s="159"/>
    </row>
    <row r="603" spans="1:26" ht="20" customHeight="1">
      <c r="A603" s="159"/>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c r="X603" s="159"/>
      <c r="Y603" s="159"/>
      <c r="Z603" s="159"/>
    </row>
    <row r="604" spans="1:26" ht="20" customHeight="1">
      <c r="A604" s="159"/>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c r="X604" s="159"/>
      <c r="Y604" s="159"/>
      <c r="Z604" s="159"/>
    </row>
    <row r="605" spans="1:26" ht="20" customHeight="1">
      <c r="A605" s="159"/>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c r="X605" s="159"/>
      <c r="Y605" s="159"/>
      <c r="Z605" s="159"/>
    </row>
    <row r="606" spans="1:26" ht="20" customHeight="1">
      <c r="A606" s="159"/>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c r="X606" s="159"/>
      <c r="Y606" s="159"/>
      <c r="Z606" s="159"/>
    </row>
    <row r="607" spans="1:26" ht="20" customHeight="1">
      <c r="A607" s="159"/>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c r="X607" s="159"/>
      <c r="Y607" s="159"/>
      <c r="Z607" s="159"/>
    </row>
    <row r="608" spans="1:26" ht="20" customHeight="1">
      <c r="A608" s="159"/>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c r="X608" s="159"/>
      <c r="Y608" s="159"/>
      <c r="Z608" s="159"/>
    </row>
    <row r="609" spans="1:26" ht="20" customHeight="1">
      <c r="A609" s="159"/>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c r="X609" s="159"/>
      <c r="Y609" s="159"/>
      <c r="Z609" s="159"/>
    </row>
    <row r="610" spans="1:26" ht="20" customHeight="1">
      <c r="A610" s="159"/>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c r="X610" s="159"/>
      <c r="Y610" s="159"/>
      <c r="Z610" s="159"/>
    </row>
    <row r="611" spans="1:26" ht="20" customHeight="1">
      <c r="A611" s="159"/>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c r="X611" s="159"/>
      <c r="Y611" s="159"/>
      <c r="Z611" s="159"/>
    </row>
    <row r="612" spans="1:26" ht="20" customHeight="1">
      <c r="A612" s="159"/>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c r="X612" s="159"/>
      <c r="Y612" s="159"/>
      <c r="Z612" s="159"/>
    </row>
    <row r="613" spans="1:26" ht="20" customHeight="1">
      <c r="A613" s="159"/>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c r="X613" s="159"/>
      <c r="Y613" s="159"/>
      <c r="Z613" s="159"/>
    </row>
    <row r="614" spans="1:26" ht="20" customHeight="1">
      <c r="A614" s="159"/>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c r="X614" s="159"/>
      <c r="Y614" s="159"/>
      <c r="Z614" s="159"/>
    </row>
    <row r="615" spans="1:26" ht="20" customHeight="1">
      <c r="A615" s="159"/>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c r="X615" s="159"/>
      <c r="Y615" s="159"/>
      <c r="Z615" s="159"/>
    </row>
    <row r="616" spans="1:26" ht="20" customHeight="1">
      <c r="A616" s="159"/>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c r="X616" s="159"/>
      <c r="Y616" s="159"/>
      <c r="Z616" s="159"/>
    </row>
    <row r="617" spans="1:26" ht="20" customHeight="1">
      <c r="A617" s="159"/>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c r="X617" s="159"/>
      <c r="Y617" s="159"/>
      <c r="Z617" s="159"/>
    </row>
    <row r="618" spans="1:26" ht="20" customHeight="1">
      <c r="A618" s="159"/>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c r="X618" s="159"/>
      <c r="Y618" s="159"/>
      <c r="Z618" s="159"/>
    </row>
    <row r="619" spans="1:26" ht="20" customHeight="1">
      <c r="A619" s="159"/>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c r="X619" s="159"/>
      <c r="Y619" s="159"/>
      <c r="Z619" s="159"/>
    </row>
    <row r="620" spans="1:26" ht="20" customHeight="1">
      <c r="A620" s="159"/>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c r="X620" s="159"/>
      <c r="Y620" s="159"/>
      <c r="Z620" s="159"/>
    </row>
    <row r="621" spans="1:26" ht="20" customHeight="1">
      <c r="A621" s="159"/>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c r="X621" s="159"/>
      <c r="Y621" s="159"/>
      <c r="Z621" s="159"/>
    </row>
    <row r="622" spans="1:26" ht="20" customHeight="1">
      <c r="A622" s="159"/>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c r="X622" s="159"/>
      <c r="Y622" s="159"/>
      <c r="Z622" s="159"/>
    </row>
    <row r="623" spans="1:26" ht="20" customHeight="1">
      <c r="A623" s="159"/>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c r="X623" s="159"/>
      <c r="Y623" s="159"/>
      <c r="Z623" s="159"/>
    </row>
    <row r="624" spans="1:26" ht="20" customHeight="1">
      <c r="A624" s="159"/>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c r="X624" s="159"/>
      <c r="Y624" s="159"/>
      <c r="Z624" s="159"/>
    </row>
    <row r="625" spans="1:26" ht="20" customHeight="1">
      <c r="A625" s="159"/>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c r="X625" s="159"/>
      <c r="Y625" s="159"/>
      <c r="Z625" s="159"/>
    </row>
    <row r="626" spans="1:26" ht="20" customHeight="1">
      <c r="A626" s="159"/>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c r="X626" s="159"/>
      <c r="Y626" s="159"/>
      <c r="Z626" s="159"/>
    </row>
    <row r="627" spans="1:26" ht="20" customHeight="1">
      <c r="A627" s="159"/>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c r="X627" s="159"/>
      <c r="Y627" s="159"/>
      <c r="Z627" s="159"/>
    </row>
    <row r="628" spans="1:26" ht="20" customHeight="1">
      <c r="A628" s="159"/>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c r="X628" s="159"/>
      <c r="Y628" s="159"/>
      <c r="Z628" s="159"/>
    </row>
    <row r="629" spans="1:26" ht="20" customHeight="1">
      <c r="A629" s="159"/>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c r="X629" s="159"/>
      <c r="Y629" s="159"/>
      <c r="Z629" s="159"/>
    </row>
    <row r="630" spans="1:26" ht="20" customHeight="1">
      <c r="A630" s="159"/>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c r="X630" s="159"/>
      <c r="Y630" s="159"/>
      <c r="Z630" s="159"/>
    </row>
    <row r="631" spans="1:26" ht="20" customHeight="1">
      <c r="A631" s="159"/>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c r="X631" s="159"/>
      <c r="Y631" s="159"/>
      <c r="Z631" s="159"/>
    </row>
    <row r="632" spans="1:26" ht="20" customHeight="1">
      <c r="A632" s="159"/>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c r="X632" s="159"/>
      <c r="Y632" s="159"/>
      <c r="Z632" s="159"/>
    </row>
    <row r="633" spans="1:26" ht="20" customHeight="1">
      <c r="A633" s="159"/>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c r="X633" s="159"/>
      <c r="Y633" s="159"/>
      <c r="Z633" s="159"/>
    </row>
    <row r="634" spans="1:26" ht="20" customHeight="1">
      <c r="A634" s="159"/>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c r="X634" s="159"/>
      <c r="Y634" s="159"/>
      <c r="Z634" s="159"/>
    </row>
    <row r="635" spans="1:26" ht="20" customHeight="1">
      <c r="A635" s="159"/>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c r="X635" s="159"/>
      <c r="Y635" s="159"/>
      <c r="Z635" s="159"/>
    </row>
    <row r="636" spans="1:26" ht="20" customHeight="1">
      <c r="A636" s="159"/>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c r="X636" s="159"/>
      <c r="Y636" s="159"/>
      <c r="Z636" s="159"/>
    </row>
    <row r="637" spans="1:26" ht="20" customHeight="1">
      <c r="A637" s="159"/>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c r="X637" s="159"/>
      <c r="Y637" s="159"/>
      <c r="Z637" s="159"/>
    </row>
    <row r="638" spans="1:26" ht="20" customHeight="1">
      <c r="A638" s="159"/>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c r="X638" s="159"/>
      <c r="Y638" s="159"/>
      <c r="Z638" s="159"/>
    </row>
    <row r="639" spans="1:26" ht="20" customHeight="1">
      <c r="A639" s="159"/>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c r="X639" s="159"/>
      <c r="Y639" s="159"/>
      <c r="Z639" s="159"/>
    </row>
    <row r="640" spans="1:26" ht="20" customHeight="1">
      <c r="A640" s="159"/>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c r="X640" s="159"/>
      <c r="Y640" s="159"/>
      <c r="Z640" s="159"/>
    </row>
    <row r="641" spans="1:26" ht="20" customHeight="1">
      <c r="A641" s="159"/>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c r="X641" s="159"/>
      <c r="Y641" s="159"/>
      <c r="Z641" s="159"/>
    </row>
    <row r="642" spans="1:26" ht="20" customHeight="1">
      <c r="A642" s="159"/>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c r="X642" s="159"/>
      <c r="Y642" s="159"/>
      <c r="Z642" s="159"/>
    </row>
    <row r="643" spans="1:26" ht="20" customHeight="1">
      <c r="A643" s="159"/>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c r="X643" s="159"/>
      <c r="Y643" s="159"/>
      <c r="Z643" s="159"/>
    </row>
    <row r="644" spans="1:26" ht="20" customHeight="1">
      <c r="A644" s="159"/>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c r="X644" s="159"/>
      <c r="Y644" s="159"/>
      <c r="Z644" s="159"/>
    </row>
    <row r="645" spans="1:26" ht="20" customHeight="1">
      <c r="A645" s="159"/>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c r="X645" s="159"/>
      <c r="Y645" s="159"/>
      <c r="Z645" s="159"/>
    </row>
    <row r="646" spans="1:26" ht="20" customHeight="1">
      <c r="A646" s="159"/>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c r="X646" s="159"/>
      <c r="Y646" s="159"/>
      <c r="Z646" s="159"/>
    </row>
    <row r="647" spans="1:26" ht="20" customHeight="1">
      <c r="A647" s="159"/>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c r="X647" s="159"/>
      <c r="Y647" s="159"/>
      <c r="Z647" s="159"/>
    </row>
    <row r="648" spans="1:26" ht="20" customHeight="1">
      <c r="A648" s="159"/>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c r="X648" s="159"/>
      <c r="Y648" s="159"/>
      <c r="Z648" s="159"/>
    </row>
    <row r="649" spans="1:26" ht="20" customHeight="1">
      <c r="A649" s="159"/>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c r="X649" s="159"/>
      <c r="Y649" s="159"/>
      <c r="Z649" s="159"/>
    </row>
    <row r="650" spans="1:26" ht="20" customHeight="1">
      <c r="A650" s="159"/>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c r="X650" s="159"/>
      <c r="Y650" s="159"/>
      <c r="Z650" s="159"/>
    </row>
    <row r="651" spans="1:26" ht="20" customHeight="1">
      <c r="A651" s="159"/>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c r="X651" s="159"/>
      <c r="Y651" s="159"/>
      <c r="Z651" s="159"/>
    </row>
    <row r="652" spans="1:26" ht="20" customHeight="1">
      <c r="A652" s="159"/>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c r="X652" s="159"/>
      <c r="Y652" s="159"/>
      <c r="Z652" s="159"/>
    </row>
    <row r="653" spans="1:26" ht="20" customHeight="1">
      <c r="A653" s="159"/>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c r="X653" s="159"/>
      <c r="Y653" s="159"/>
      <c r="Z653" s="159"/>
    </row>
    <row r="654" spans="1:26" ht="20" customHeight="1">
      <c r="A654" s="159"/>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c r="X654" s="159"/>
      <c r="Y654" s="159"/>
      <c r="Z654" s="159"/>
    </row>
    <row r="655" spans="1:26" ht="20" customHeight="1">
      <c r="A655" s="159"/>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c r="X655" s="159"/>
      <c r="Y655" s="159"/>
      <c r="Z655" s="159"/>
    </row>
    <row r="656" spans="1:26" ht="20" customHeight="1">
      <c r="A656" s="159"/>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c r="X656" s="159"/>
      <c r="Y656" s="159"/>
      <c r="Z656" s="159"/>
    </row>
    <row r="657" spans="1:26" ht="20" customHeight="1">
      <c r="A657" s="159"/>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c r="X657" s="159"/>
      <c r="Y657" s="159"/>
      <c r="Z657" s="159"/>
    </row>
    <row r="658" spans="1:26" ht="20" customHeight="1">
      <c r="A658" s="159"/>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c r="X658" s="159"/>
      <c r="Y658" s="159"/>
      <c r="Z658" s="159"/>
    </row>
    <row r="659" spans="1:26" ht="20" customHeight="1">
      <c r="A659" s="159"/>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c r="X659" s="159"/>
      <c r="Y659" s="159"/>
      <c r="Z659" s="159"/>
    </row>
    <row r="660" spans="1:26" ht="20" customHeight="1">
      <c r="A660" s="159"/>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c r="X660" s="159"/>
      <c r="Y660" s="159"/>
      <c r="Z660" s="159"/>
    </row>
    <row r="661" spans="1:26" ht="20" customHeight="1">
      <c r="A661" s="159"/>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c r="X661" s="159"/>
      <c r="Y661" s="159"/>
      <c r="Z661" s="159"/>
    </row>
    <row r="662" spans="1:26" ht="20" customHeight="1">
      <c r="A662" s="159"/>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c r="X662" s="159"/>
      <c r="Y662" s="159"/>
      <c r="Z662" s="159"/>
    </row>
    <row r="663" spans="1:26" ht="20" customHeight="1">
      <c r="A663" s="159"/>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c r="X663" s="159"/>
      <c r="Y663" s="159"/>
      <c r="Z663" s="159"/>
    </row>
    <row r="664" spans="1:26" ht="20" customHeight="1">
      <c r="A664" s="159"/>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c r="X664" s="159"/>
      <c r="Y664" s="159"/>
      <c r="Z664" s="159"/>
    </row>
    <row r="665" spans="1:26" ht="20" customHeight="1">
      <c r="A665" s="159"/>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c r="X665" s="159"/>
      <c r="Y665" s="159"/>
      <c r="Z665" s="159"/>
    </row>
    <row r="666" spans="1:26" ht="20" customHeight="1">
      <c r="A666" s="159"/>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c r="X666" s="159"/>
      <c r="Y666" s="159"/>
      <c r="Z666" s="159"/>
    </row>
    <row r="667" spans="1:26" ht="20" customHeight="1">
      <c r="A667" s="159"/>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c r="X667" s="159"/>
      <c r="Y667" s="159"/>
      <c r="Z667" s="159"/>
    </row>
    <row r="668" spans="1:26" ht="20" customHeight="1">
      <c r="A668" s="159"/>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c r="X668" s="159"/>
      <c r="Y668" s="159"/>
      <c r="Z668" s="159"/>
    </row>
    <row r="669" spans="1:26" ht="20" customHeight="1">
      <c r="A669" s="159"/>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c r="X669" s="159"/>
      <c r="Y669" s="159"/>
      <c r="Z669" s="159"/>
    </row>
    <row r="670" spans="1:26" ht="20" customHeight="1">
      <c r="A670" s="159"/>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c r="X670" s="159"/>
      <c r="Y670" s="159"/>
      <c r="Z670" s="159"/>
    </row>
    <row r="671" spans="1:26" ht="20" customHeight="1">
      <c r="A671" s="159"/>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c r="X671" s="159"/>
      <c r="Y671" s="159"/>
      <c r="Z671" s="159"/>
    </row>
    <row r="672" spans="1:26" ht="20" customHeight="1">
      <c r="A672" s="159"/>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c r="X672" s="159"/>
      <c r="Y672" s="159"/>
      <c r="Z672" s="159"/>
    </row>
    <row r="673" spans="1:26" ht="20" customHeight="1">
      <c r="A673" s="159"/>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c r="X673" s="159"/>
      <c r="Y673" s="159"/>
      <c r="Z673" s="159"/>
    </row>
    <row r="674" spans="1:26" ht="20" customHeight="1">
      <c r="A674" s="159"/>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c r="X674" s="159"/>
      <c r="Y674" s="159"/>
      <c r="Z674" s="159"/>
    </row>
    <row r="675" spans="1:26" ht="20" customHeight="1">
      <c r="A675" s="159"/>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c r="X675" s="159"/>
      <c r="Y675" s="159"/>
      <c r="Z675" s="159"/>
    </row>
    <row r="676" spans="1:26" ht="20" customHeight="1">
      <c r="A676" s="159"/>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c r="X676" s="159"/>
      <c r="Y676" s="159"/>
      <c r="Z676" s="159"/>
    </row>
    <row r="677" spans="1:26" ht="20" customHeight="1">
      <c r="A677" s="159"/>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c r="X677" s="159"/>
      <c r="Y677" s="159"/>
      <c r="Z677" s="159"/>
    </row>
    <row r="678" spans="1:26" ht="20" customHeight="1">
      <c r="A678" s="159"/>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c r="X678" s="159"/>
      <c r="Y678" s="159"/>
      <c r="Z678" s="159"/>
    </row>
    <row r="679" spans="1:26" ht="20" customHeight="1">
      <c r="A679" s="159"/>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c r="X679" s="159"/>
      <c r="Y679" s="159"/>
      <c r="Z679" s="159"/>
    </row>
    <row r="680" spans="1:26" ht="20" customHeight="1">
      <c r="A680" s="159"/>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c r="X680" s="159"/>
      <c r="Y680" s="159"/>
      <c r="Z680" s="159"/>
    </row>
    <row r="681" spans="1:26" ht="20" customHeight="1">
      <c r="A681" s="159"/>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c r="X681" s="159"/>
      <c r="Y681" s="159"/>
      <c r="Z681" s="159"/>
    </row>
    <row r="682" spans="1:26" ht="20" customHeight="1">
      <c r="A682" s="159"/>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c r="X682" s="159"/>
      <c r="Y682" s="159"/>
      <c r="Z682" s="159"/>
    </row>
    <row r="683" spans="1:26" ht="20" customHeight="1">
      <c r="A683" s="159"/>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c r="X683" s="159"/>
      <c r="Y683" s="159"/>
      <c r="Z683" s="159"/>
    </row>
    <row r="684" spans="1:26" ht="20" customHeight="1">
      <c r="A684" s="159"/>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c r="X684" s="159"/>
      <c r="Y684" s="159"/>
      <c r="Z684" s="159"/>
    </row>
    <row r="685" spans="1:26" ht="20" customHeight="1">
      <c r="A685" s="159"/>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c r="X685" s="159"/>
      <c r="Y685" s="159"/>
      <c r="Z685" s="159"/>
    </row>
    <row r="686" spans="1:26" ht="20" customHeight="1">
      <c r="A686" s="159"/>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c r="X686" s="159"/>
      <c r="Y686" s="159"/>
      <c r="Z686" s="159"/>
    </row>
    <row r="687" spans="1:26" ht="20" customHeight="1">
      <c r="A687" s="159"/>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c r="X687" s="159"/>
      <c r="Y687" s="159"/>
      <c r="Z687" s="159"/>
    </row>
    <row r="688" spans="1:26" ht="20" customHeight="1">
      <c r="A688" s="159"/>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c r="X688" s="159"/>
      <c r="Y688" s="159"/>
      <c r="Z688" s="159"/>
    </row>
    <row r="689" spans="1:26" ht="20" customHeight="1">
      <c r="A689" s="159"/>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c r="X689" s="159"/>
      <c r="Y689" s="159"/>
      <c r="Z689" s="159"/>
    </row>
    <row r="690" spans="1:26" ht="20" customHeight="1">
      <c r="A690" s="159"/>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c r="X690" s="159"/>
      <c r="Y690" s="159"/>
      <c r="Z690" s="159"/>
    </row>
    <row r="691" spans="1:26" ht="20" customHeight="1">
      <c r="A691" s="159"/>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c r="X691" s="159"/>
      <c r="Y691" s="159"/>
      <c r="Z691" s="159"/>
    </row>
    <row r="692" spans="1:26" ht="20" customHeight="1">
      <c r="A692" s="159"/>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c r="X692" s="159"/>
      <c r="Y692" s="159"/>
      <c r="Z692" s="159"/>
    </row>
    <row r="693" spans="1:26" ht="20" customHeight="1">
      <c r="A693" s="159"/>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c r="X693" s="159"/>
      <c r="Y693" s="159"/>
      <c r="Z693" s="159"/>
    </row>
    <row r="694" spans="1:26" ht="20" customHeight="1">
      <c r="A694" s="159"/>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c r="X694" s="159"/>
      <c r="Y694" s="159"/>
      <c r="Z694" s="159"/>
    </row>
    <row r="695" spans="1:26" ht="20" customHeight="1">
      <c r="A695" s="159"/>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c r="X695" s="159"/>
      <c r="Y695" s="159"/>
      <c r="Z695" s="159"/>
    </row>
    <row r="696" spans="1:26" ht="20" customHeight="1">
      <c r="A696" s="159"/>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c r="X696" s="159"/>
      <c r="Y696" s="159"/>
      <c r="Z696" s="159"/>
    </row>
    <row r="697" spans="1:26" ht="20" customHeight="1">
      <c r="A697" s="159"/>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c r="X697" s="159"/>
      <c r="Y697" s="159"/>
      <c r="Z697" s="159"/>
    </row>
    <row r="698" spans="1:26" ht="20" customHeight="1">
      <c r="A698" s="159"/>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c r="X698" s="159"/>
      <c r="Y698" s="159"/>
      <c r="Z698" s="159"/>
    </row>
    <row r="699" spans="1:26" ht="20" customHeight="1">
      <c r="A699" s="159"/>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c r="X699" s="159"/>
      <c r="Y699" s="159"/>
      <c r="Z699" s="159"/>
    </row>
    <row r="700" spans="1:26" ht="20" customHeight="1">
      <c r="A700" s="159"/>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c r="X700" s="159"/>
      <c r="Y700" s="159"/>
      <c r="Z700" s="159"/>
    </row>
    <row r="701" spans="1:26" ht="20" customHeight="1">
      <c r="A701" s="159"/>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c r="X701" s="159"/>
      <c r="Y701" s="159"/>
      <c r="Z701" s="159"/>
    </row>
    <row r="702" spans="1:26" ht="20" customHeight="1">
      <c r="A702" s="159"/>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c r="X702" s="159"/>
      <c r="Y702" s="159"/>
      <c r="Z702" s="159"/>
    </row>
    <row r="703" spans="1:26" ht="20" customHeight="1">
      <c r="A703" s="159"/>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c r="X703" s="159"/>
      <c r="Y703" s="159"/>
      <c r="Z703" s="159"/>
    </row>
    <row r="704" spans="1:26" ht="20" customHeight="1">
      <c r="A704" s="159"/>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c r="X704" s="159"/>
      <c r="Y704" s="159"/>
      <c r="Z704" s="159"/>
    </row>
    <row r="705" spans="1:26" ht="20" customHeight="1">
      <c r="A705" s="159"/>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c r="X705" s="159"/>
      <c r="Y705" s="159"/>
      <c r="Z705" s="159"/>
    </row>
    <row r="706" spans="1:26" ht="20" customHeight="1">
      <c r="A706" s="159"/>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c r="X706" s="159"/>
      <c r="Y706" s="159"/>
      <c r="Z706" s="159"/>
    </row>
    <row r="707" spans="1:26" ht="20" customHeight="1">
      <c r="A707" s="159"/>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c r="X707" s="159"/>
      <c r="Y707" s="159"/>
      <c r="Z707" s="159"/>
    </row>
    <row r="708" spans="1:26" ht="20" customHeight="1">
      <c r="A708" s="159"/>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c r="X708" s="159"/>
      <c r="Y708" s="159"/>
      <c r="Z708" s="159"/>
    </row>
    <row r="709" spans="1:26" ht="20" customHeight="1">
      <c r="A709" s="159"/>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c r="X709" s="159"/>
      <c r="Y709" s="159"/>
      <c r="Z709" s="159"/>
    </row>
    <row r="710" spans="1:26" ht="20" customHeight="1">
      <c r="A710" s="159"/>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c r="X710" s="159"/>
      <c r="Y710" s="159"/>
      <c r="Z710" s="159"/>
    </row>
    <row r="711" spans="1:26" ht="20" customHeight="1">
      <c r="A711" s="159"/>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c r="X711" s="159"/>
      <c r="Y711" s="159"/>
      <c r="Z711" s="159"/>
    </row>
    <row r="712" spans="1:26" ht="20" customHeight="1">
      <c r="A712" s="159"/>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c r="X712" s="159"/>
      <c r="Y712" s="159"/>
      <c r="Z712" s="159"/>
    </row>
    <row r="713" spans="1:26" ht="20" customHeight="1">
      <c r="A713" s="159"/>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c r="X713" s="159"/>
      <c r="Y713" s="159"/>
      <c r="Z713" s="159"/>
    </row>
    <row r="714" spans="1:26" ht="20" customHeight="1">
      <c r="A714" s="159"/>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c r="X714" s="159"/>
      <c r="Y714" s="159"/>
      <c r="Z714" s="159"/>
    </row>
    <row r="715" spans="1:26" ht="20" customHeight="1">
      <c r="A715" s="159"/>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c r="X715" s="159"/>
      <c r="Y715" s="159"/>
      <c r="Z715" s="159"/>
    </row>
    <row r="716" spans="1:26" ht="20" customHeight="1">
      <c r="A716" s="159"/>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c r="X716" s="159"/>
      <c r="Y716" s="159"/>
      <c r="Z716" s="159"/>
    </row>
    <row r="717" spans="1:26" ht="20" customHeight="1">
      <c r="A717" s="159"/>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c r="X717" s="159"/>
      <c r="Y717" s="159"/>
      <c r="Z717" s="159"/>
    </row>
    <row r="718" spans="1:26" ht="20" customHeight="1">
      <c r="A718" s="159"/>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c r="X718" s="159"/>
      <c r="Y718" s="159"/>
      <c r="Z718" s="159"/>
    </row>
    <row r="719" spans="1:26" ht="20" customHeight="1">
      <c r="A719" s="159"/>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c r="X719" s="159"/>
      <c r="Y719" s="159"/>
      <c r="Z719" s="159"/>
    </row>
    <row r="720" spans="1:26" ht="20" customHeight="1">
      <c r="A720" s="159"/>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c r="X720" s="159"/>
      <c r="Y720" s="159"/>
      <c r="Z720" s="159"/>
    </row>
    <row r="721" spans="1:26" ht="20" customHeight="1">
      <c r="A721" s="159"/>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c r="X721" s="159"/>
      <c r="Y721" s="159"/>
      <c r="Z721" s="159"/>
    </row>
    <row r="722" spans="1:26" ht="20" customHeight="1">
      <c r="A722" s="159"/>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c r="X722" s="159"/>
      <c r="Y722" s="159"/>
      <c r="Z722" s="159"/>
    </row>
    <row r="723" spans="1:26" ht="20" customHeight="1">
      <c r="A723" s="159"/>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c r="X723" s="159"/>
      <c r="Y723" s="159"/>
      <c r="Z723" s="159"/>
    </row>
    <row r="724" spans="1:26" ht="20" customHeight="1">
      <c r="A724" s="159"/>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c r="X724" s="159"/>
      <c r="Y724" s="159"/>
      <c r="Z724" s="159"/>
    </row>
    <row r="725" spans="1:26" ht="20" customHeight="1">
      <c r="A725" s="159"/>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c r="X725" s="159"/>
      <c r="Y725" s="159"/>
      <c r="Z725" s="159"/>
    </row>
    <row r="726" spans="1:26" ht="20" customHeight="1">
      <c r="A726" s="159"/>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c r="X726" s="159"/>
      <c r="Y726" s="159"/>
      <c r="Z726" s="159"/>
    </row>
    <row r="727" spans="1:26" ht="20" customHeight="1">
      <c r="A727" s="159"/>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c r="X727" s="159"/>
      <c r="Y727" s="159"/>
      <c r="Z727" s="159"/>
    </row>
    <row r="728" spans="1:26" ht="20" customHeight="1">
      <c r="A728" s="159"/>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c r="X728" s="159"/>
      <c r="Y728" s="159"/>
      <c r="Z728" s="159"/>
    </row>
    <row r="729" spans="1:26" ht="20" customHeight="1">
      <c r="A729" s="159"/>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c r="X729" s="159"/>
      <c r="Y729" s="159"/>
      <c r="Z729" s="159"/>
    </row>
    <row r="730" spans="1:26" ht="20" customHeight="1">
      <c r="A730" s="159"/>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c r="X730" s="159"/>
      <c r="Y730" s="159"/>
      <c r="Z730" s="159"/>
    </row>
    <row r="731" spans="1:26" ht="20" customHeight="1">
      <c r="A731" s="159"/>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c r="X731" s="159"/>
      <c r="Y731" s="159"/>
      <c r="Z731" s="159"/>
    </row>
    <row r="732" spans="1:26" ht="20" customHeight="1">
      <c r="A732" s="159"/>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c r="X732" s="159"/>
      <c r="Y732" s="159"/>
      <c r="Z732" s="159"/>
    </row>
    <row r="733" spans="1:26" ht="20" customHeight="1">
      <c r="A733" s="159"/>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c r="X733" s="159"/>
      <c r="Y733" s="159"/>
      <c r="Z733" s="159"/>
    </row>
    <row r="734" spans="1:26" ht="20" customHeight="1">
      <c r="A734" s="159"/>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c r="X734" s="159"/>
      <c r="Y734" s="159"/>
      <c r="Z734" s="159"/>
    </row>
    <row r="735" spans="1:26" ht="20" customHeight="1">
      <c r="A735" s="159"/>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c r="X735" s="159"/>
      <c r="Y735" s="159"/>
      <c r="Z735" s="159"/>
    </row>
    <row r="736" spans="1:26" ht="20" customHeight="1">
      <c r="A736" s="159"/>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c r="X736" s="159"/>
      <c r="Y736" s="159"/>
      <c r="Z736" s="159"/>
    </row>
    <row r="737" spans="1:26" ht="20" customHeight="1">
      <c r="A737" s="159"/>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c r="X737" s="159"/>
      <c r="Y737" s="159"/>
      <c r="Z737" s="159"/>
    </row>
    <row r="738" spans="1:26" ht="20" customHeight="1">
      <c r="A738" s="159"/>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c r="X738" s="159"/>
      <c r="Y738" s="159"/>
      <c r="Z738" s="159"/>
    </row>
    <row r="739" spans="1:26" ht="20" customHeight="1">
      <c r="A739" s="159"/>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c r="X739" s="159"/>
      <c r="Y739" s="159"/>
      <c r="Z739" s="159"/>
    </row>
    <row r="740" spans="1:26" ht="20" customHeight="1">
      <c r="A740" s="159"/>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c r="X740" s="159"/>
      <c r="Y740" s="159"/>
      <c r="Z740" s="159"/>
    </row>
    <row r="741" spans="1:26" ht="20" customHeight="1">
      <c r="A741" s="159"/>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c r="X741" s="159"/>
      <c r="Y741" s="159"/>
      <c r="Z741" s="159"/>
    </row>
    <row r="742" spans="1:26" ht="20" customHeight="1">
      <c r="A742" s="159"/>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c r="X742" s="159"/>
      <c r="Y742" s="159"/>
      <c r="Z742" s="159"/>
    </row>
    <row r="743" spans="1:26" ht="20" customHeight="1">
      <c r="A743" s="159"/>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c r="X743" s="159"/>
      <c r="Y743" s="159"/>
      <c r="Z743" s="159"/>
    </row>
    <row r="744" spans="1:26" ht="20" customHeight="1">
      <c r="A744" s="159"/>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c r="X744" s="159"/>
      <c r="Y744" s="159"/>
      <c r="Z744" s="159"/>
    </row>
    <row r="745" spans="1:26" ht="20" customHeight="1">
      <c r="A745" s="159"/>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c r="X745" s="159"/>
      <c r="Y745" s="159"/>
      <c r="Z745" s="159"/>
    </row>
    <row r="746" spans="1:26" ht="20" customHeight="1">
      <c r="A746" s="159"/>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c r="X746" s="159"/>
      <c r="Y746" s="159"/>
      <c r="Z746" s="159"/>
    </row>
    <row r="747" spans="1:26" ht="20" customHeight="1">
      <c r="A747" s="159"/>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c r="X747" s="159"/>
      <c r="Y747" s="159"/>
      <c r="Z747" s="159"/>
    </row>
    <row r="748" spans="1:26" ht="20" customHeight="1">
      <c r="A748" s="159"/>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c r="X748" s="159"/>
      <c r="Y748" s="159"/>
      <c r="Z748" s="159"/>
    </row>
    <row r="749" spans="1:26" ht="20" customHeight="1">
      <c r="A749" s="159"/>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c r="X749" s="159"/>
      <c r="Y749" s="159"/>
      <c r="Z749" s="159"/>
    </row>
    <row r="750" spans="1:26" ht="20" customHeight="1">
      <c r="A750" s="159"/>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c r="X750" s="159"/>
      <c r="Y750" s="159"/>
      <c r="Z750" s="159"/>
    </row>
    <row r="751" spans="1:26" ht="20" customHeight="1">
      <c r="A751" s="159"/>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c r="X751" s="159"/>
      <c r="Y751" s="159"/>
      <c r="Z751" s="159"/>
    </row>
    <row r="752" spans="1:26" ht="20" customHeight="1">
      <c r="A752" s="159"/>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c r="X752" s="159"/>
      <c r="Y752" s="159"/>
      <c r="Z752" s="159"/>
    </row>
    <row r="753" spans="1:26" ht="20" customHeight="1">
      <c r="A753" s="159"/>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c r="X753" s="159"/>
      <c r="Y753" s="159"/>
      <c r="Z753" s="159"/>
    </row>
    <row r="754" spans="1:26" ht="20" customHeight="1">
      <c r="A754" s="159"/>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c r="X754" s="159"/>
      <c r="Y754" s="159"/>
      <c r="Z754" s="159"/>
    </row>
    <row r="755" spans="1:26" ht="20" customHeight="1">
      <c r="A755" s="159"/>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c r="X755" s="159"/>
      <c r="Y755" s="159"/>
      <c r="Z755" s="159"/>
    </row>
    <row r="756" spans="1:26" ht="20" customHeight="1">
      <c r="A756" s="159"/>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c r="X756" s="159"/>
      <c r="Y756" s="159"/>
      <c r="Z756" s="159"/>
    </row>
    <row r="757" spans="1:26" ht="20" customHeight="1">
      <c r="A757" s="159"/>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c r="X757" s="159"/>
      <c r="Y757" s="159"/>
      <c r="Z757" s="159"/>
    </row>
    <row r="758" spans="1:26" ht="20" customHeight="1">
      <c r="A758" s="159"/>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c r="X758" s="159"/>
      <c r="Y758" s="159"/>
      <c r="Z758" s="159"/>
    </row>
    <row r="759" spans="1:26" ht="20" customHeight="1">
      <c r="A759" s="159"/>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c r="X759" s="159"/>
      <c r="Y759" s="159"/>
      <c r="Z759" s="159"/>
    </row>
    <row r="760" spans="1:26" ht="20" customHeight="1">
      <c r="A760" s="159"/>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c r="X760" s="159"/>
      <c r="Y760" s="159"/>
      <c r="Z760" s="159"/>
    </row>
    <row r="761" spans="1:26" ht="20" customHeight="1">
      <c r="A761" s="159"/>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c r="X761" s="159"/>
      <c r="Y761" s="159"/>
      <c r="Z761" s="159"/>
    </row>
    <row r="762" spans="1:26" ht="20" customHeight="1">
      <c r="A762" s="159"/>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c r="X762" s="159"/>
      <c r="Y762" s="159"/>
      <c r="Z762" s="159"/>
    </row>
    <row r="763" spans="1:26" ht="20" customHeight="1">
      <c r="A763" s="159"/>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c r="X763" s="159"/>
      <c r="Y763" s="159"/>
      <c r="Z763" s="159"/>
    </row>
    <row r="764" spans="1:26" ht="20" customHeight="1">
      <c r="A764" s="159"/>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c r="X764" s="159"/>
      <c r="Y764" s="159"/>
      <c r="Z764" s="159"/>
    </row>
    <row r="765" spans="1:26" ht="20" customHeight="1">
      <c r="A765" s="159"/>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c r="X765" s="159"/>
      <c r="Y765" s="159"/>
      <c r="Z765" s="159"/>
    </row>
    <row r="766" spans="1:26" ht="20" customHeight="1">
      <c r="A766" s="159"/>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c r="X766" s="159"/>
      <c r="Y766" s="159"/>
      <c r="Z766" s="159"/>
    </row>
    <row r="767" spans="1:26" ht="20" customHeight="1">
      <c r="A767" s="159"/>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c r="X767" s="159"/>
      <c r="Y767" s="159"/>
      <c r="Z767" s="159"/>
    </row>
    <row r="768" spans="1:26" ht="20" customHeight="1">
      <c r="A768" s="159"/>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c r="X768" s="159"/>
      <c r="Y768" s="159"/>
      <c r="Z768" s="159"/>
    </row>
    <row r="769" spans="1:26" ht="20" customHeight="1">
      <c r="A769" s="159"/>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c r="X769" s="159"/>
      <c r="Y769" s="159"/>
      <c r="Z769" s="159"/>
    </row>
    <row r="770" spans="1:26" ht="20" customHeight="1">
      <c r="A770" s="159"/>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c r="X770" s="159"/>
      <c r="Y770" s="159"/>
      <c r="Z770" s="159"/>
    </row>
    <row r="771" spans="1:26" ht="20" customHeight="1">
      <c r="A771" s="159"/>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c r="X771" s="159"/>
      <c r="Y771" s="159"/>
      <c r="Z771" s="159"/>
    </row>
    <row r="772" spans="1:26" ht="20" customHeight="1">
      <c r="A772" s="159"/>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c r="X772" s="159"/>
      <c r="Y772" s="159"/>
      <c r="Z772" s="159"/>
    </row>
    <row r="773" spans="1:26" ht="20" customHeight="1">
      <c r="A773" s="159"/>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c r="X773" s="159"/>
      <c r="Y773" s="159"/>
      <c r="Z773" s="159"/>
    </row>
    <row r="774" spans="1:26" ht="20" customHeight="1">
      <c r="A774" s="159"/>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c r="X774" s="159"/>
      <c r="Y774" s="159"/>
      <c r="Z774" s="159"/>
    </row>
    <row r="775" spans="1:26" ht="20" customHeight="1">
      <c r="A775" s="159"/>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c r="X775" s="159"/>
      <c r="Y775" s="159"/>
      <c r="Z775" s="159"/>
    </row>
    <row r="776" spans="1:26" ht="20" customHeight="1">
      <c r="A776" s="159"/>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c r="X776" s="159"/>
      <c r="Y776" s="159"/>
      <c r="Z776" s="159"/>
    </row>
    <row r="777" spans="1:26" ht="20" customHeight="1">
      <c r="A777" s="159"/>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c r="X777" s="159"/>
      <c r="Y777" s="159"/>
      <c r="Z777" s="159"/>
    </row>
    <row r="778" spans="1:26" ht="20" customHeight="1">
      <c r="A778" s="159"/>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c r="X778" s="159"/>
      <c r="Y778" s="159"/>
      <c r="Z778" s="159"/>
    </row>
    <row r="779" spans="1:26" ht="20" customHeight="1">
      <c r="A779" s="159"/>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c r="X779" s="159"/>
      <c r="Y779" s="159"/>
      <c r="Z779" s="159"/>
    </row>
    <row r="780" spans="1:26" ht="20" customHeight="1">
      <c r="A780" s="159"/>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c r="X780" s="159"/>
      <c r="Y780" s="159"/>
      <c r="Z780" s="159"/>
    </row>
    <row r="781" spans="1:26" ht="20" customHeight="1">
      <c r="A781" s="159"/>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c r="X781" s="159"/>
      <c r="Y781" s="159"/>
      <c r="Z781" s="159"/>
    </row>
    <row r="782" spans="1:26" ht="20" customHeight="1">
      <c r="A782" s="159"/>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c r="X782" s="159"/>
      <c r="Y782" s="159"/>
      <c r="Z782" s="159"/>
    </row>
    <row r="783" spans="1:26" ht="20" customHeight="1">
      <c r="A783" s="159"/>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c r="X783" s="159"/>
      <c r="Y783" s="159"/>
      <c r="Z783" s="159"/>
    </row>
    <row r="784" spans="1:26" ht="20" customHeight="1">
      <c r="A784" s="159"/>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c r="X784" s="159"/>
      <c r="Y784" s="159"/>
      <c r="Z784" s="159"/>
    </row>
    <row r="785" spans="1:26" ht="20" customHeight="1">
      <c r="A785" s="159"/>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c r="X785" s="159"/>
      <c r="Y785" s="159"/>
      <c r="Z785" s="159"/>
    </row>
    <row r="786" spans="1:26" ht="20" customHeight="1">
      <c r="A786" s="159"/>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c r="X786" s="159"/>
      <c r="Y786" s="159"/>
      <c r="Z786" s="159"/>
    </row>
    <row r="787" spans="1:26" ht="20" customHeight="1">
      <c r="A787" s="159"/>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c r="X787" s="159"/>
      <c r="Y787" s="159"/>
      <c r="Z787" s="159"/>
    </row>
    <row r="788" spans="1:26" ht="20" customHeight="1">
      <c r="A788" s="159"/>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c r="X788" s="159"/>
      <c r="Y788" s="159"/>
      <c r="Z788" s="159"/>
    </row>
    <row r="789" spans="1:26" ht="20" customHeight="1">
      <c r="A789" s="159"/>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c r="X789" s="159"/>
      <c r="Y789" s="159"/>
      <c r="Z789" s="159"/>
    </row>
    <row r="790" spans="1:26" ht="20" customHeight="1">
      <c r="A790" s="159"/>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c r="X790" s="159"/>
      <c r="Y790" s="159"/>
      <c r="Z790" s="159"/>
    </row>
    <row r="791" spans="1:26" ht="20" customHeight="1">
      <c r="A791" s="159"/>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c r="X791" s="159"/>
      <c r="Y791" s="159"/>
      <c r="Z791" s="159"/>
    </row>
    <row r="792" spans="1:26" ht="20" customHeight="1">
      <c r="A792" s="159"/>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c r="X792" s="159"/>
      <c r="Y792" s="159"/>
      <c r="Z792" s="159"/>
    </row>
    <row r="793" spans="1:26" ht="20" customHeight="1">
      <c r="A793" s="159"/>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c r="X793" s="159"/>
      <c r="Y793" s="159"/>
      <c r="Z793" s="159"/>
    </row>
    <row r="794" spans="1:26" ht="20" customHeight="1">
      <c r="A794" s="159"/>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c r="X794" s="159"/>
      <c r="Y794" s="159"/>
      <c r="Z794" s="159"/>
    </row>
    <row r="795" spans="1:26" ht="20" customHeight="1">
      <c r="A795" s="159"/>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c r="X795" s="159"/>
      <c r="Y795" s="159"/>
      <c r="Z795" s="159"/>
    </row>
    <row r="796" spans="1:26" ht="20" customHeight="1">
      <c r="A796" s="159"/>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c r="X796" s="159"/>
      <c r="Y796" s="159"/>
      <c r="Z796" s="159"/>
    </row>
    <row r="797" spans="1:26" ht="20" customHeight="1">
      <c r="A797" s="159"/>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c r="X797" s="159"/>
      <c r="Y797" s="159"/>
      <c r="Z797" s="159"/>
    </row>
    <row r="798" spans="1:26" ht="20" customHeight="1">
      <c r="A798" s="159"/>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c r="X798" s="159"/>
      <c r="Y798" s="159"/>
      <c r="Z798" s="159"/>
    </row>
    <row r="799" spans="1:26" ht="20" customHeight="1">
      <c r="A799" s="159"/>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c r="X799" s="159"/>
      <c r="Y799" s="159"/>
      <c r="Z799" s="159"/>
    </row>
    <row r="800" spans="1:26" ht="20" customHeight="1">
      <c r="A800" s="159"/>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c r="X800" s="159"/>
      <c r="Y800" s="159"/>
      <c r="Z800" s="159"/>
    </row>
    <row r="801" spans="1:26" ht="20" customHeight="1">
      <c r="A801" s="159"/>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c r="X801" s="159"/>
      <c r="Y801" s="159"/>
      <c r="Z801" s="159"/>
    </row>
    <row r="802" spans="1:26" ht="20" customHeight="1">
      <c r="A802" s="159"/>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c r="X802" s="159"/>
      <c r="Y802" s="159"/>
      <c r="Z802" s="159"/>
    </row>
    <row r="803" spans="1:26" ht="20" customHeight="1">
      <c r="A803" s="159"/>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c r="X803" s="159"/>
      <c r="Y803" s="159"/>
      <c r="Z803" s="159"/>
    </row>
    <row r="804" spans="1:26" ht="20" customHeight="1">
      <c r="A804" s="159"/>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c r="X804" s="159"/>
      <c r="Y804" s="159"/>
      <c r="Z804" s="159"/>
    </row>
    <row r="805" spans="1:26" ht="20" customHeight="1">
      <c r="A805" s="159"/>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c r="X805" s="159"/>
      <c r="Y805" s="159"/>
      <c r="Z805" s="159"/>
    </row>
    <row r="806" spans="1:26" ht="20" customHeight="1">
      <c r="A806" s="159"/>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c r="X806" s="159"/>
      <c r="Y806" s="159"/>
      <c r="Z806" s="159"/>
    </row>
    <row r="807" spans="1:26" ht="20" customHeight="1">
      <c r="A807" s="159"/>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c r="X807" s="159"/>
      <c r="Y807" s="159"/>
      <c r="Z807" s="159"/>
    </row>
    <row r="808" spans="1:26" ht="20" customHeight="1">
      <c r="A808" s="159"/>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c r="X808" s="159"/>
      <c r="Y808" s="159"/>
      <c r="Z808" s="159"/>
    </row>
    <row r="809" spans="1:26" ht="20" customHeight="1">
      <c r="A809" s="159"/>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c r="X809" s="159"/>
      <c r="Y809" s="159"/>
      <c r="Z809" s="159"/>
    </row>
    <row r="810" spans="1:26" ht="20" customHeight="1">
      <c r="A810" s="159"/>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c r="X810" s="159"/>
      <c r="Y810" s="159"/>
      <c r="Z810" s="159"/>
    </row>
    <row r="811" spans="1:26" ht="20" customHeight="1">
      <c r="A811" s="159"/>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c r="X811" s="159"/>
      <c r="Y811" s="159"/>
      <c r="Z811" s="159"/>
    </row>
    <row r="812" spans="1:26" ht="20" customHeight="1">
      <c r="A812" s="159"/>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c r="X812" s="159"/>
      <c r="Y812" s="159"/>
      <c r="Z812" s="159"/>
    </row>
    <row r="813" spans="1:26" ht="20" customHeight="1">
      <c r="A813" s="159"/>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c r="X813" s="159"/>
      <c r="Y813" s="159"/>
      <c r="Z813" s="159"/>
    </row>
    <row r="814" spans="1:26" ht="20" customHeight="1">
      <c r="A814" s="159"/>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c r="X814" s="159"/>
      <c r="Y814" s="159"/>
      <c r="Z814" s="159"/>
    </row>
    <row r="815" spans="1:26" ht="20" customHeight="1">
      <c r="A815" s="159"/>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c r="X815" s="159"/>
      <c r="Y815" s="159"/>
      <c r="Z815" s="159"/>
    </row>
    <row r="816" spans="1:26" ht="20" customHeight="1">
      <c r="A816" s="159"/>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c r="X816" s="159"/>
      <c r="Y816" s="159"/>
      <c r="Z816" s="159"/>
    </row>
    <row r="817" spans="1:26" ht="20" customHeight="1">
      <c r="A817" s="159"/>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c r="X817" s="159"/>
      <c r="Y817" s="159"/>
      <c r="Z817" s="159"/>
    </row>
    <row r="818" spans="1:26" ht="20" customHeight="1">
      <c r="A818" s="159"/>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c r="X818" s="159"/>
      <c r="Y818" s="159"/>
      <c r="Z818" s="159"/>
    </row>
    <row r="819" spans="1:26" ht="20" customHeight="1">
      <c r="A819" s="159"/>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c r="X819" s="159"/>
      <c r="Y819" s="159"/>
      <c r="Z819" s="159"/>
    </row>
    <row r="820" spans="1:26" ht="20" customHeight="1">
      <c r="A820" s="159"/>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c r="X820" s="159"/>
      <c r="Y820" s="159"/>
      <c r="Z820" s="159"/>
    </row>
    <row r="821" spans="1:26" ht="20" customHeight="1">
      <c r="A821" s="159"/>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c r="X821" s="159"/>
      <c r="Y821" s="159"/>
      <c r="Z821" s="159"/>
    </row>
    <row r="822" spans="1:26" ht="20" customHeight="1">
      <c r="A822" s="159"/>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c r="X822" s="159"/>
      <c r="Y822" s="159"/>
      <c r="Z822" s="159"/>
    </row>
    <row r="823" spans="1:26" ht="20" customHeight="1">
      <c r="A823" s="159"/>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c r="X823" s="159"/>
      <c r="Y823" s="159"/>
      <c r="Z823" s="159"/>
    </row>
    <row r="824" spans="1:26" ht="20" customHeight="1">
      <c r="A824" s="159"/>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c r="X824" s="159"/>
      <c r="Y824" s="159"/>
      <c r="Z824" s="159"/>
    </row>
    <row r="825" spans="1:26" ht="20" customHeight="1">
      <c r="A825" s="159"/>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c r="X825" s="159"/>
      <c r="Y825" s="159"/>
      <c r="Z825" s="159"/>
    </row>
    <row r="826" spans="1:26" ht="20" customHeight="1">
      <c r="A826" s="159"/>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c r="X826" s="159"/>
      <c r="Y826" s="159"/>
      <c r="Z826" s="159"/>
    </row>
    <row r="827" spans="1:26" ht="20" customHeight="1">
      <c r="A827" s="159"/>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c r="X827" s="159"/>
      <c r="Y827" s="159"/>
      <c r="Z827" s="159"/>
    </row>
    <row r="828" spans="1:26" ht="20" customHeight="1">
      <c r="A828" s="159"/>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c r="X828" s="159"/>
      <c r="Y828" s="159"/>
      <c r="Z828" s="159"/>
    </row>
    <row r="829" spans="1:26" ht="20" customHeight="1">
      <c r="A829" s="159"/>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c r="X829" s="159"/>
      <c r="Y829" s="159"/>
      <c r="Z829" s="159"/>
    </row>
    <row r="830" spans="1:26" ht="20" customHeight="1">
      <c r="A830" s="159"/>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c r="X830" s="159"/>
      <c r="Y830" s="159"/>
      <c r="Z830" s="159"/>
    </row>
    <row r="831" spans="1:26" ht="20" customHeight="1">
      <c r="A831" s="159"/>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c r="X831" s="159"/>
      <c r="Y831" s="159"/>
      <c r="Z831" s="159"/>
    </row>
    <row r="832" spans="1:26" ht="20" customHeight="1">
      <c r="A832" s="159"/>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c r="X832" s="159"/>
      <c r="Y832" s="159"/>
      <c r="Z832" s="159"/>
    </row>
    <row r="833" spans="1:26" ht="20" customHeight="1">
      <c r="A833" s="159"/>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c r="X833" s="159"/>
      <c r="Y833" s="159"/>
      <c r="Z833" s="159"/>
    </row>
    <row r="834" spans="1:26" ht="20" customHeight="1">
      <c r="A834" s="159"/>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c r="X834" s="159"/>
      <c r="Y834" s="159"/>
      <c r="Z834" s="159"/>
    </row>
    <row r="835" spans="1:26" ht="20" customHeight="1">
      <c r="A835" s="159"/>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c r="X835" s="159"/>
      <c r="Y835" s="159"/>
      <c r="Z835" s="159"/>
    </row>
    <row r="836" spans="1:26" ht="20" customHeight="1">
      <c r="A836" s="159"/>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c r="X836" s="159"/>
      <c r="Y836" s="159"/>
      <c r="Z836" s="159"/>
    </row>
    <row r="837" spans="1:26" ht="20" customHeight="1">
      <c r="A837" s="159"/>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c r="X837" s="159"/>
      <c r="Y837" s="159"/>
      <c r="Z837" s="159"/>
    </row>
    <row r="838" spans="1:26" ht="20" customHeight="1">
      <c r="A838" s="159"/>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c r="X838" s="159"/>
      <c r="Y838" s="159"/>
      <c r="Z838" s="159"/>
    </row>
    <row r="839" spans="1:26" ht="20" customHeight="1">
      <c r="A839" s="159"/>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c r="X839" s="159"/>
      <c r="Y839" s="159"/>
      <c r="Z839" s="159"/>
    </row>
    <row r="840" spans="1:26" ht="20" customHeight="1">
      <c r="A840" s="159"/>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c r="X840" s="159"/>
      <c r="Y840" s="159"/>
      <c r="Z840" s="159"/>
    </row>
    <row r="841" spans="1:26" ht="20" customHeight="1">
      <c r="A841" s="159"/>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c r="X841" s="159"/>
      <c r="Y841" s="159"/>
      <c r="Z841" s="159"/>
    </row>
    <row r="842" spans="1:26" ht="20" customHeight="1">
      <c r="A842" s="159"/>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c r="X842" s="159"/>
      <c r="Y842" s="159"/>
      <c r="Z842" s="159"/>
    </row>
    <row r="843" spans="1:26" ht="20" customHeight="1">
      <c r="A843" s="159"/>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c r="X843" s="159"/>
      <c r="Y843" s="159"/>
      <c r="Z843" s="159"/>
    </row>
    <row r="844" spans="1:26" ht="20" customHeight="1">
      <c r="A844" s="159"/>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c r="X844" s="159"/>
      <c r="Y844" s="159"/>
      <c r="Z844" s="159"/>
    </row>
    <row r="845" spans="1:26" ht="20" customHeight="1">
      <c r="A845" s="159"/>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c r="X845" s="159"/>
      <c r="Y845" s="159"/>
      <c r="Z845" s="159"/>
    </row>
    <row r="846" spans="1:26" ht="20" customHeight="1">
      <c r="A846" s="159"/>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c r="X846" s="159"/>
      <c r="Y846" s="159"/>
      <c r="Z846" s="159"/>
    </row>
    <row r="847" spans="1:26" ht="20" customHeight="1">
      <c r="A847" s="159"/>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c r="X847" s="159"/>
      <c r="Y847" s="159"/>
      <c r="Z847" s="159"/>
    </row>
    <row r="848" spans="1:26" ht="20" customHeight="1">
      <c r="A848" s="159"/>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c r="X848" s="159"/>
      <c r="Y848" s="159"/>
      <c r="Z848" s="159"/>
    </row>
    <row r="849" spans="1:26" ht="20" customHeight="1">
      <c r="A849" s="159"/>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c r="X849" s="159"/>
      <c r="Y849" s="159"/>
      <c r="Z849" s="159"/>
    </row>
    <row r="850" spans="1:26" ht="20" customHeight="1">
      <c r="A850" s="159"/>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c r="X850" s="159"/>
      <c r="Y850" s="159"/>
      <c r="Z850" s="159"/>
    </row>
    <row r="851" spans="1:26" ht="20" customHeight="1">
      <c r="A851" s="159"/>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c r="X851" s="159"/>
      <c r="Y851" s="159"/>
      <c r="Z851" s="159"/>
    </row>
    <row r="852" spans="1:26" ht="20" customHeight="1">
      <c r="A852" s="159"/>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c r="X852" s="159"/>
      <c r="Y852" s="159"/>
      <c r="Z852" s="159"/>
    </row>
    <row r="853" spans="1:26" ht="20" customHeight="1">
      <c r="A853" s="159"/>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c r="X853" s="159"/>
      <c r="Y853" s="159"/>
      <c r="Z853" s="159"/>
    </row>
    <row r="854" spans="1:26" ht="20" customHeight="1">
      <c r="A854" s="159"/>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c r="X854" s="159"/>
      <c r="Y854" s="159"/>
      <c r="Z854" s="159"/>
    </row>
    <row r="855" spans="1:26" ht="20" customHeight="1">
      <c r="A855" s="159"/>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c r="X855" s="159"/>
      <c r="Y855" s="159"/>
      <c r="Z855" s="159"/>
    </row>
    <row r="856" spans="1:26" ht="20" customHeight="1">
      <c r="A856" s="159"/>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c r="X856" s="159"/>
      <c r="Y856" s="159"/>
      <c r="Z856" s="159"/>
    </row>
    <row r="857" spans="1:26" ht="20" customHeight="1">
      <c r="A857" s="159"/>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c r="X857" s="159"/>
      <c r="Y857" s="159"/>
      <c r="Z857" s="159"/>
    </row>
    <row r="858" spans="1:26" ht="20" customHeight="1">
      <c r="A858" s="159"/>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c r="X858" s="159"/>
      <c r="Y858" s="159"/>
      <c r="Z858" s="159"/>
    </row>
    <row r="859" spans="1:26" ht="20" customHeight="1">
      <c r="A859" s="159"/>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c r="X859" s="159"/>
      <c r="Y859" s="159"/>
      <c r="Z859" s="159"/>
    </row>
    <row r="860" spans="1:26" ht="20" customHeight="1">
      <c r="A860" s="159"/>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c r="X860" s="159"/>
      <c r="Y860" s="159"/>
      <c r="Z860" s="159"/>
    </row>
    <row r="861" spans="1:26" ht="20" customHeight="1">
      <c r="A861" s="159"/>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c r="X861" s="159"/>
      <c r="Y861" s="159"/>
      <c r="Z861" s="159"/>
    </row>
    <row r="862" spans="1:26" ht="20" customHeight="1">
      <c r="A862" s="159"/>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c r="X862" s="159"/>
      <c r="Y862" s="159"/>
      <c r="Z862" s="159"/>
    </row>
    <row r="863" spans="1:26" ht="20" customHeight="1">
      <c r="A863" s="159"/>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c r="X863" s="159"/>
      <c r="Y863" s="159"/>
      <c r="Z863" s="159"/>
    </row>
    <row r="864" spans="1:26" ht="20" customHeight="1">
      <c r="A864" s="159"/>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c r="X864" s="159"/>
      <c r="Y864" s="159"/>
      <c r="Z864" s="159"/>
    </row>
    <row r="865" spans="1:26" ht="20" customHeight="1">
      <c r="A865" s="159"/>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c r="X865" s="159"/>
      <c r="Y865" s="159"/>
      <c r="Z865" s="159"/>
    </row>
    <row r="866" spans="1:26" ht="20" customHeight="1">
      <c r="A866" s="159"/>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c r="X866" s="159"/>
      <c r="Y866" s="159"/>
      <c r="Z866" s="159"/>
    </row>
    <row r="867" spans="1:26" ht="20" customHeight="1">
      <c r="A867" s="159"/>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c r="X867" s="159"/>
      <c r="Y867" s="159"/>
      <c r="Z867" s="159"/>
    </row>
    <row r="868" spans="1:26" ht="20" customHeight="1">
      <c r="A868" s="159"/>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c r="X868" s="159"/>
      <c r="Y868" s="159"/>
      <c r="Z868" s="159"/>
    </row>
    <row r="869" spans="1:26" ht="20" customHeight="1">
      <c r="A869" s="159"/>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c r="X869" s="159"/>
      <c r="Y869" s="159"/>
      <c r="Z869" s="159"/>
    </row>
    <row r="870" spans="1:26" ht="20" customHeight="1">
      <c r="A870" s="159"/>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c r="X870" s="159"/>
      <c r="Y870" s="159"/>
      <c r="Z870" s="159"/>
    </row>
    <row r="871" spans="1:26" ht="20" customHeight="1">
      <c r="A871" s="159"/>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c r="X871" s="159"/>
      <c r="Y871" s="159"/>
      <c r="Z871" s="159"/>
    </row>
    <row r="872" spans="1:26" ht="20" customHeight="1">
      <c r="A872" s="159"/>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c r="X872" s="159"/>
      <c r="Y872" s="159"/>
      <c r="Z872" s="159"/>
    </row>
    <row r="873" spans="1:26" ht="20" customHeight="1">
      <c r="A873" s="159"/>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c r="X873" s="159"/>
      <c r="Y873" s="159"/>
      <c r="Z873" s="159"/>
    </row>
    <row r="874" spans="1:26" ht="20" customHeight="1">
      <c r="A874" s="159"/>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c r="X874" s="159"/>
      <c r="Y874" s="159"/>
      <c r="Z874" s="159"/>
    </row>
    <row r="875" spans="1:26" ht="20" customHeight="1">
      <c r="A875" s="159"/>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c r="X875" s="159"/>
      <c r="Y875" s="159"/>
      <c r="Z875" s="159"/>
    </row>
    <row r="876" spans="1:26" ht="20" customHeight="1">
      <c r="A876" s="159"/>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c r="X876" s="159"/>
      <c r="Y876" s="159"/>
      <c r="Z876" s="159"/>
    </row>
    <row r="877" spans="1:26" ht="20" customHeight="1">
      <c r="A877" s="159"/>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c r="X877" s="159"/>
      <c r="Y877" s="159"/>
      <c r="Z877" s="159"/>
    </row>
    <row r="878" spans="1:26" ht="20" customHeight="1">
      <c r="A878" s="159"/>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c r="X878" s="159"/>
      <c r="Y878" s="159"/>
      <c r="Z878" s="159"/>
    </row>
    <row r="879" spans="1:26" ht="20" customHeight="1">
      <c r="A879" s="159"/>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c r="X879" s="159"/>
      <c r="Y879" s="159"/>
      <c r="Z879" s="159"/>
    </row>
    <row r="880" spans="1:26" ht="20" customHeight="1">
      <c r="A880" s="159"/>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c r="X880" s="159"/>
      <c r="Y880" s="159"/>
      <c r="Z880" s="159"/>
    </row>
    <row r="881" spans="1:26" ht="20" customHeight="1">
      <c r="A881" s="159"/>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c r="X881" s="159"/>
      <c r="Y881" s="159"/>
      <c r="Z881" s="159"/>
    </row>
    <row r="882" spans="1:26" ht="20" customHeight="1">
      <c r="A882" s="159"/>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c r="X882" s="159"/>
      <c r="Y882" s="159"/>
      <c r="Z882" s="159"/>
    </row>
    <row r="883" spans="1:26" ht="20" customHeight="1">
      <c r="A883" s="159"/>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c r="X883" s="159"/>
      <c r="Y883" s="159"/>
      <c r="Z883" s="159"/>
    </row>
    <row r="884" spans="1:26" ht="20" customHeight="1">
      <c r="A884" s="159"/>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c r="X884" s="159"/>
      <c r="Y884" s="159"/>
      <c r="Z884" s="159"/>
    </row>
    <row r="885" spans="1:26" ht="20" customHeight="1">
      <c r="A885" s="159"/>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c r="X885" s="159"/>
      <c r="Y885" s="159"/>
      <c r="Z885" s="159"/>
    </row>
    <row r="886" spans="1:26" ht="20" customHeight="1">
      <c r="A886" s="159"/>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c r="X886" s="159"/>
      <c r="Y886" s="159"/>
      <c r="Z886" s="159"/>
    </row>
    <row r="887" spans="1:26" ht="20" customHeight="1">
      <c r="A887" s="159"/>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c r="X887" s="159"/>
      <c r="Y887" s="159"/>
      <c r="Z887" s="159"/>
    </row>
    <row r="888" spans="1:26" ht="20" customHeight="1">
      <c r="A888" s="159"/>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c r="X888" s="159"/>
      <c r="Y888" s="159"/>
      <c r="Z888" s="159"/>
    </row>
    <row r="889" spans="1:26" ht="20" customHeight="1">
      <c r="A889" s="159"/>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c r="X889" s="159"/>
      <c r="Y889" s="159"/>
      <c r="Z889" s="159"/>
    </row>
    <row r="890" spans="1:26" ht="20" customHeight="1">
      <c r="A890" s="159"/>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c r="X890" s="159"/>
      <c r="Y890" s="159"/>
      <c r="Z890" s="159"/>
    </row>
    <row r="891" spans="1:26" ht="20" customHeight="1">
      <c r="A891" s="159"/>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c r="X891" s="159"/>
      <c r="Y891" s="159"/>
      <c r="Z891" s="159"/>
    </row>
    <row r="892" spans="1:26" ht="20" customHeight="1">
      <c r="A892" s="159"/>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c r="X892" s="159"/>
      <c r="Y892" s="159"/>
      <c r="Z892" s="159"/>
    </row>
    <row r="893" spans="1:26" ht="20" customHeight="1">
      <c r="A893" s="159"/>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c r="X893" s="159"/>
      <c r="Y893" s="159"/>
      <c r="Z893" s="159"/>
    </row>
    <row r="894" spans="1:26" ht="20" customHeight="1">
      <c r="A894" s="159"/>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c r="X894" s="159"/>
      <c r="Y894" s="159"/>
      <c r="Z894" s="159"/>
    </row>
    <row r="895" spans="1:26" ht="20" customHeight="1">
      <c r="A895" s="159"/>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c r="X895" s="159"/>
      <c r="Y895" s="159"/>
      <c r="Z895" s="159"/>
    </row>
    <row r="896" spans="1:26" ht="20" customHeight="1">
      <c r="A896" s="159"/>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c r="X896" s="159"/>
      <c r="Y896" s="159"/>
      <c r="Z896" s="159"/>
    </row>
    <row r="897" spans="1:26" ht="20" customHeight="1">
      <c r="A897" s="159"/>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c r="X897" s="159"/>
      <c r="Y897" s="159"/>
      <c r="Z897" s="159"/>
    </row>
    <row r="898" spans="1:26" ht="20" customHeight="1">
      <c r="A898" s="159"/>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c r="X898" s="159"/>
      <c r="Y898" s="159"/>
      <c r="Z898" s="159"/>
    </row>
    <row r="899" spans="1:26" ht="20" customHeight="1">
      <c r="A899" s="159"/>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c r="X899" s="159"/>
      <c r="Y899" s="159"/>
      <c r="Z899" s="159"/>
    </row>
    <row r="900" spans="1:26" ht="20" customHeight="1">
      <c r="A900" s="159"/>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c r="X900" s="159"/>
      <c r="Y900" s="159"/>
      <c r="Z900" s="159"/>
    </row>
    <row r="901" spans="1:26" ht="20" customHeight="1">
      <c r="A901" s="159"/>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c r="X901" s="159"/>
      <c r="Y901" s="159"/>
      <c r="Z901" s="159"/>
    </row>
    <row r="902" spans="1:26" ht="20" customHeight="1">
      <c r="A902" s="159"/>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c r="X902" s="159"/>
      <c r="Y902" s="159"/>
      <c r="Z902" s="159"/>
    </row>
    <row r="903" spans="1:26" ht="20" customHeight="1">
      <c r="A903" s="159"/>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c r="X903" s="159"/>
      <c r="Y903" s="159"/>
      <c r="Z903" s="159"/>
    </row>
    <row r="904" spans="1:26" ht="20" customHeight="1">
      <c r="A904" s="159"/>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c r="X904" s="159"/>
      <c r="Y904" s="159"/>
      <c r="Z904" s="159"/>
    </row>
    <row r="905" spans="1:26" ht="20" customHeight="1">
      <c r="A905" s="159"/>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c r="X905" s="159"/>
      <c r="Y905" s="159"/>
      <c r="Z905" s="159"/>
    </row>
    <row r="906" spans="1:26" ht="20" customHeight="1">
      <c r="A906" s="159"/>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c r="X906" s="159"/>
      <c r="Y906" s="159"/>
      <c r="Z906" s="159"/>
    </row>
    <row r="907" spans="1:26" ht="20" customHeight="1">
      <c r="A907" s="159"/>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c r="X907" s="159"/>
      <c r="Y907" s="159"/>
      <c r="Z907" s="159"/>
    </row>
    <row r="908" spans="1:26" ht="20" customHeight="1">
      <c r="A908" s="159"/>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c r="X908" s="159"/>
      <c r="Y908" s="159"/>
      <c r="Z908" s="159"/>
    </row>
    <row r="909" spans="1:26" ht="20" customHeight="1">
      <c r="A909" s="159"/>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c r="X909" s="159"/>
      <c r="Y909" s="159"/>
      <c r="Z909" s="159"/>
    </row>
    <row r="910" spans="1:26" ht="20" customHeight="1">
      <c r="A910" s="159"/>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c r="X910" s="159"/>
      <c r="Y910" s="159"/>
      <c r="Z910" s="159"/>
    </row>
    <row r="911" spans="1:26" ht="20" customHeight="1">
      <c r="A911" s="159"/>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c r="X911" s="159"/>
      <c r="Y911" s="159"/>
      <c r="Z911" s="159"/>
    </row>
    <row r="912" spans="1:26" ht="20" customHeight="1">
      <c r="A912" s="159"/>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c r="X912" s="159"/>
      <c r="Y912" s="159"/>
      <c r="Z912" s="159"/>
    </row>
    <row r="913" spans="1:26" ht="20" customHeight="1">
      <c r="A913" s="159"/>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c r="X913" s="159"/>
      <c r="Y913" s="159"/>
      <c r="Z913" s="159"/>
    </row>
    <row r="914" spans="1:26" ht="20" customHeight="1">
      <c r="A914" s="159"/>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c r="X914" s="159"/>
      <c r="Y914" s="159"/>
      <c r="Z914" s="159"/>
    </row>
    <row r="915" spans="1:26" ht="20" customHeight="1">
      <c r="A915" s="159"/>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c r="X915" s="159"/>
      <c r="Y915" s="159"/>
      <c r="Z915" s="159"/>
    </row>
    <row r="916" spans="1:26" ht="20" customHeight="1">
      <c r="A916" s="159"/>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c r="X916" s="159"/>
      <c r="Y916" s="159"/>
      <c r="Z916" s="159"/>
    </row>
    <row r="917" spans="1:26" ht="20" customHeight="1">
      <c r="A917" s="159"/>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c r="X917" s="159"/>
      <c r="Y917" s="159"/>
      <c r="Z917" s="159"/>
    </row>
    <row r="918" spans="1:26" ht="20" customHeight="1">
      <c r="A918" s="159"/>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c r="X918" s="159"/>
      <c r="Y918" s="159"/>
      <c r="Z918" s="159"/>
    </row>
    <row r="919" spans="1:26" ht="20" customHeight="1">
      <c r="A919" s="159"/>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c r="X919" s="159"/>
      <c r="Y919" s="159"/>
      <c r="Z919" s="159"/>
    </row>
    <row r="920" spans="1:26" ht="20" customHeight="1">
      <c r="A920" s="159"/>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c r="X920" s="159"/>
      <c r="Y920" s="159"/>
      <c r="Z920" s="159"/>
    </row>
    <row r="921" spans="1:26" ht="20" customHeight="1">
      <c r="A921" s="159"/>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c r="X921" s="159"/>
      <c r="Y921" s="159"/>
      <c r="Z921" s="159"/>
    </row>
    <row r="922" spans="1:26" ht="20" customHeight="1">
      <c r="A922" s="159"/>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c r="X922" s="159"/>
      <c r="Y922" s="159"/>
      <c r="Z922" s="159"/>
    </row>
    <row r="923" spans="1:26" ht="20" customHeight="1">
      <c r="A923" s="159"/>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c r="X923" s="159"/>
      <c r="Y923" s="159"/>
      <c r="Z923" s="159"/>
    </row>
    <row r="924" spans="1:26" ht="20" customHeight="1">
      <c r="A924" s="159"/>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c r="X924" s="159"/>
      <c r="Y924" s="159"/>
      <c r="Z924" s="159"/>
    </row>
    <row r="925" spans="1:26" ht="20" customHeight="1">
      <c r="A925" s="159"/>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c r="X925" s="159"/>
      <c r="Y925" s="159"/>
      <c r="Z925" s="159"/>
    </row>
    <row r="926" spans="1:26" ht="20" customHeight="1">
      <c r="A926" s="159"/>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c r="X926" s="159"/>
      <c r="Y926" s="159"/>
      <c r="Z926" s="159"/>
    </row>
    <row r="927" spans="1:26" ht="20" customHeight="1">
      <c r="A927" s="159"/>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c r="X927" s="159"/>
      <c r="Y927" s="159"/>
      <c r="Z927" s="159"/>
    </row>
    <row r="928" spans="1:26" ht="20" customHeight="1">
      <c r="A928" s="159"/>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c r="X928" s="159"/>
      <c r="Y928" s="159"/>
      <c r="Z928" s="159"/>
    </row>
    <row r="929" spans="1:26" ht="20" customHeight="1">
      <c r="A929" s="159"/>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c r="X929" s="159"/>
      <c r="Y929" s="159"/>
      <c r="Z929" s="159"/>
    </row>
    <row r="930" spans="1:26" ht="20" customHeight="1">
      <c r="A930" s="159"/>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c r="X930" s="159"/>
      <c r="Y930" s="159"/>
      <c r="Z930" s="159"/>
    </row>
    <row r="931" spans="1:26" ht="20" customHeight="1">
      <c r="A931" s="159"/>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c r="X931" s="159"/>
      <c r="Y931" s="159"/>
      <c r="Z931" s="159"/>
    </row>
    <row r="932" spans="1:26" ht="20" customHeight="1">
      <c r="A932" s="159"/>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c r="X932" s="159"/>
      <c r="Y932" s="159"/>
      <c r="Z932" s="159"/>
    </row>
    <row r="933" spans="1:26" ht="20" customHeight="1">
      <c r="A933" s="159"/>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c r="X933" s="159"/>
      <c r="Y933" s="159"/>
      <c r="Z933" s="159"/>
    </row>
    <row r="934" spans="1:26" ht="20" customHeight="1">
      <c r="A934" s="159"/>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c r="X934" s="159"/>
      <c r="Y934" s="159"/>
      <c r="Z934" s="159"/>
    </row>
    <row r="935" spans="1:26" ht="20" customHeight="1">
      <c r="A935" s="159"/>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c r="X935" s="159"/>
      <c r="Y935" s="159"/>
      <c r="Z935" s="159"/>
    </row>
    <row r="936" spans="1:26" ht="20" customHeight="1">
      <c r="A936" s="159"/>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c r="X936" s="159"/>
      <c r="Y936" s="159"/>
      <c r="Z936" s="159"/>
    </row>
    <row r="937" spans="1:26" ht="20" customHeight="1">
      <c r="A937" s="159"/>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c r="X937" s="159"/>
      <c r="Y937" s="159"/>
      <c r="Z937" s="159"/>
    </row>
    <row r="938" spans="1:26" ht="20" customHeight="1">
      <c r="A938" s="159"/>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c r="X938" s="159"/>
      <c r="Y938" s="159"/>
      <c r="Z938" s="159"/>
    </row>
    <row r="939" spans="1:26" ht="20" customHeight="1">
      <c r="A939" s="159"/>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c r="X939" s="159"/>
      <c r="Y939" s="159"/>
      <c r="Z939" s="159"/>
    </row>
    <row r="940" spans="1:26" ht="20" customHeight="1">
      <c r="A940" s="159"/>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c r="X940" s="159"/>
      <c r="Y940" s="159"/>
      <c r="Z940" s="159"/>
    </row>
    <row r="941" spans="1:26" ht="20" customHeight="1">
      <c r="A941" s="159"/>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c r="X941" s="159"/>
      <c r="Y941" s="159"/>
      <c r="Z941" s="159"/>
    </row>
    <row r="942" spans="1:26" ht="20" customHeight="1">
      <c r="A942" s="159"/>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c r="X942" s="159"/>
      <c r="Y942" s="159"/>
      <c r="Z942" s="159"/>
    </row>
    <row r="943" spans="1:26" ht="20" customHeight="1">
      <c r="A943" s="159"/>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c r="X943" s="159"/>
      <c r="Y943" s="159"/>
      <c r="Z943" s="159"/>
    </row>
    <row r="944" spans="1:26" ht="20" customHeight="1">
      <c r="A944" s="159"/>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c r="X944" s="159"/>
      <c r="Y944" s="159"/>
      <c r="Z944" s="159"/>
    </row>
    <row r="945" spans="1:26" ht="20" customHeight="1">
      <c r="A945" s="159"/>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c r="X945" s="159"/>
      <c r="Y945" s="159"/>
      <c r="Z945" s="159"/>
    </row>
    <row r="946" spans="1:26" ht="20" customHeight="1">
      <c r="A946" s="159"/>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c r="X946" s="159"/>
      <c r="Y946" s="159"/>
      <c r="Z946" s="159"/>
    </row>
    <row r="947" spans="1:26" ht="20" customHeight="1">
      <c r="A947" s="159"/>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c r="X947" s="159"/>
      <c r="Y947" s="159"/>
      <c r="Z947" s="159"/>
    </row>
    <row r="948" spans="1:26" ht="20" customHeight="1">
      <c r="A948" s="159"/>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c r="X948" s="159"/>
      <c r="Y948" s="159"/>
      <c r="Z948" s="159"/>
    </row>
    <row r="949" spans="1:26" ht="20" customHeight="1">
      <c r="A949" s="159"/>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c r="X949" s="159"/>
      <c r="Y949" s="159"/>
      <c r="Z949" s="159"/>
    </row>
    <row r="950" spans="1:26" ht="20" customHeight="1">
      <c r="A950" s="159"/>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c r="X950" s="159"/>
      <c r="Y950" s="159"/>
      <c r="Z950" s="159"/>
    </row>
    <row r="951" spans="1:26" ht="20" customHeight="1">
      <c r="A951" s="159"/>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c r="X951" s="159"/>
      <c r="Y951" s="159"/>
      <c r="Z951" s="159"/>
    </row>
    <row r="952" spans="1:26" ht="20" customHeight="1">
      <c r="A952" s="159"/>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c r="X952" s="159"/>
      <c r="Y952" s="159"/>
      <c r="Z952" s="159"/>
    </row>
    <row r="953" spans="1:26" ht="20" customHeight="1">
      <c r="A953" s="159"/>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c r="X953" s="159"/>
      <c r="Y953" s="159"/>
      <c r="Z953" s="159"/>
    </row>
    <row r="954" spans="1:26" ht="20" customHeight="1">
      <c r="A954" s="159"/>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c r="X954" s="159"/>
      <c r="Y954" s="159"/>
      <c r="Z954" s="159"/>
    </row>
    <row r="955" spans="1:26" ht="20" customHeight="1">
      <c r="A955" s="159"/>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c r="X955" s="159"/>
      <c r="Y955" s="159"/>
      <c r="Z955" s="159"/>
    </row>
    <row r="956" spans="1:26" ht="20" customHeight="1">
      <c r="A956" s="159"/>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c r="X956" s="159"/>
      <c r="Y956" s="159"/>
      <c r="Z956" s="159"/>
    </row>
    <row r="957" spans="1:26" ht="20" customHeight="1">
      <c r="A957" s="159"/>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c r="X957" s="159"/>
      <c r="Y957" s="159"/>
      <c r="Z957" s="159"/>
    </row>
    <row r="958" spans="1:26" ht="20" customHeight="1">
      <c r="A958" s="159"/>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c r="X958" s="159"/>
      <c r="Y958" s="159"/>
      <c r="Z958" s="159"/>
    </row>
    <row r="959" spans="1:26" ht="20" customHeight="1">
      <c r="A959" s="159"/>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c r="X959" s="159"/>
      <c r="Y959" s="159"/>
      <c r="Z959" s="159"/>
    </row>
    <row r="960" spans="1:26" ht="20" customHeight="1">
      <c r="A960" s="159"/>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c r="X960" s="159"/>
      <c r="Y960" s="159"/>
      <c r="Z960" s="159"/>
    </row>
    <row r="961" spans="1:26" ht="20" customHeight="1">
      <c r="A961" s="159"/>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c r="X961" s="159"/>
      <c r="Y961" s="159"/>
      <c r="Z961" s="159"/>
    </row>
    <row r="962" spans="1:26" ht="20" customHeight="1">
      <c r="A962" s="159"/>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c r="X962" s="159"/>
      <c r="Y962" s="159"/>
      <c r="Z962" s="159"/>
    </row>
    <row r="963" spans="1:26" ht="20" customHeight="1">
      <c r="A963" s="159"/>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c r="X963" s="159"/>
      <c r="Y963" s="159"/>
      <c r="Z963" s="159"/>
    </row>
    <row r="964" spans="1:26" ht="20" customHeight="1">
      <c r="A964" s="159"/>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c r="X964" s="159"/>
      <c r="Y964" s="159"/>
      <c r="Z964" s="159"/>
    </row>
    <row r="965" spans="1:26" ht="20" customHeight="1">
      <c r="A965" s="159"/>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c r="X965" s="159"/>
      <c r="Y965" s="159"/>
      <c r="Z965" s="159"/>
    </row>
    <row r="966" spans="1:26" ht="20" customHeight="1">
      <c r="A966" s="159"/>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c r="X966" s="159"/>
      <c r="Y966" s="159"/>
      <c r="Z966" s="159"/>
    </row>
    <row r="967" spans="1:26" ht="20" customHeight="1">
      <c r="A967" s="159"/>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c r="X967" s="159"/>
      <c r="Y967" s="159"/>
      <c r="Z967" s="159"/>
    </row>
    <row r="968" spans="1:26" ht="20" customHeight="1">
      <c r="A968" s="159"/>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c r="X968" s="159"/>
      <c r="Y968" s="159"/>
      <c r="Z968" s="159"/>
    </row>
    <row r="969" spans="1:26" ht="20" customHeight="1">
      <c r="A969" s="159"/>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c r="X969" s="159"/>
      <c r="Y969" s="159"/>
      <c r="Z969" s="159"/>
    </row>
    <row r="970" spans="1:26" ht="20" customHeight="1">
      <c r="A970" s="159"/>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c r="X970" s="159"/>
      <c r="Y970" s="159"/>
      <c r="Z970" s="159"/>
    </row>
    <row r="971" spans="1:26" ht="20" customHeight="1">
      <c r="A971" s="159"/>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c r="X971" s="159"/>
      <c r="Y971" s="159"/>
      <c r="Z971" s="159"/>
    </row>
    <row r="972" spans="1:26" ht="20" customHeight="1">
      <c r="A972" s="159"/>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c r="X972" s="159"/>
      <c r="Y972" s="159"/>
      <c r="Z972" s="159"/>
    </row>
    <row r="973" spans="1:26" ht="20" customHeight="1">
      <c r="A973" s="159"/>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c r="X973" s="159"/>
      <c r="Y973" s="159"/>
      <c r="Z973" s="159"/>
    </row>
    <row r="974" spans="1:26" ht="20" customHeight="1">
      <c r="A974" s="159"/>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c r="X974" s="159"/>
      <c r="Y974" s="159"/>
      <c r="Z974" s="159"/>
    </row>
    <row r="975" spans="1:26" ht="20" customHeight="1">
      <c r="A975" s="159"/>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c r="X975" s="159"/>
      <c r="Y975" s="159"/>
      <c r="Z975" s="159"/>
    </row>
    <row r="976" spans="1:26" ht="20" customHeight="1">
      <c r="A976" s="159"/>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c r="X976" s="159"/>
      <c r="Y976" s="159"/>
      <c r="Z976" s="159"/>
    </row>
    <row r="977" spans="1:26" ht="20" customHeight="1">
      <c r="A977" s="159"/>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c r="X977" s="159"/>
      <c r="Y977" s="159"/>
      <c r="Z977" s="159"/>
    </row>
    <row r="978" spans="1:26" ht="20" customHeight="1">
      <c r="A978" s="159"/>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c r="X978" s="159"/>
      <c r="Y978" s="159"/>
      <c r="Z978" s="159"/>
    </row>
    <row r="979" spans="1:26" ht="20" customHeight="1">
      <c r="A979" s="159"/>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c r="X979" s="159"/>
      <c r="Y979" s="159"/>
      <c r="Z979" s="159"/>
    </row>
    <row r="980" spans="1:26" ht="20" customHeight="1">
      <c r="A980" s="159"/>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c r="X980" s="159"/>
      <c r="Y980" s="159"/>
      <c r="Z980" s="159"/>
    </row>
    <row r="981" spans="1:26" ht="20" customHeight="1">
      <c r="A981" s="159"/>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c r="X981" s="159"/>
      <c r="Y981" s="159"/>
      <c r="Z981" s="159"/>
    </row>
    <row r="982" spans="1:26" ht="20" customHeight="1">
      <c r="A982" s="159"/>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c r="X982" s="159"/>
      <c r="Y982" s="159"/>
      <c r="Z982" s="159"/>
    </row>
    <row r="983" spans="1:26" ht="20" customHeight="1">
      <c r="A983" s="159"/>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c r="X983" s="159"/>
      <c r="Y983" s="159"/>
      <c r="Z983" s="159"/>
    </row>
    <row r="984" spans="1:26" ht="20" customHeight="1">
      <c r="A984" s="159"/>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c r="X984" s="159"/>
      <c r="Y984" s="159"/>
      <c r="Z984" s="159"/>
    </row>
    <row r="985" spans="1:26" ht="20" customHeight="1">
      <c r="A985" s="159"/>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c r="X985" s="159"/>
      <c r="Y985" s="159"/>
      <c r="Z985" s="159"/>
    </row>
    <row r="986" spans="1:26" ht="20" customHeight="1">
      <c r="A986" s="159"/>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c r="X986" s="159"/>
      <c r="Y986" s="159"/>
      <c r="Z986" s="159"/>
    </row>
    <row r="987" spans="1:26" ht="20" customHeight="1">
      <c r="A987" s="159"/>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c r="X987" s="159"/>
      <c r="Y987" s="159"/>
      <c r="Z987" s="159"/>
    </row>
    <row r="988" spans="1:26" ht="20" customHeight="1">
      <c r="A988" s="159"/>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c r="X988" s="159"/>
      <c r="Y988" s="159"/>
      <c r="Z988" s="159"/>
    </row>
    <row r="989" spans="1:26" ht="20" customHeight="1">
      <c r="A989" s="159"/>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c r="X989" s="159"/>
      <c r="Y989" s="159"/>
      <c r="Z989" s="159"/>
    </row>
    <row r="990" spans="1:26" ht="20" customHeight="1">
      <c r="A990" s="159"/>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c r="X990" s="159"/>
      <c r="Y990" s="159"/>
      <c r="Z990" s="159"/>
    </row>
    <row r="991" spans="1:26" ht="20" customHeight="1">
      <c r="A991" s="159"/>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c r="X991" s="159"/>
      <c r="Y991" s="159"/>
      <c r="Z991" s="159"/>
    </row>
    <row r="992" spans="1:26" ht="20" customHeight="1">
      <c r="A992" s="159"/>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c r="X992" s="159"/>
      <c r="Y992" s="159"/>
      <c r="Z992" s="159"/>
    </row>
    <row r="993" spans="1:26" ht="20" customHeight="1">
      <c r="A993" s="159"/>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c r="X993" s="159"/>
      <c r="Y993" s="159"/>
      <c r="Z993" s="159"/>
    </row>
    <row r="994" spans="1:26" ht="20" customHeight="1">
      <c r="A994" s="159"/>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c r="X994" s="159"/>
      <c r="Y994" s="159"/>
      <c r="Z994" s="159"/>
    </row>
    <row r="995" spans="1:26" ht="20" customHeight="1">
      <c r="A995" s="159"/>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c r="X995" s="159"/>
      <c r="Y995" s="159"/>
      <c r="Z995" s="159"/>
    </row>
    <row r="996" spans="1:26" ht="20" customHeight="1">
      <c r="A996" s="159"/>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c r="X996" s="159"/>
      <c r="Y996" s="159"/>
      <c r="Z996" s="159"/>
    </row>
    <row r="997" spans="1:26" ht="20" customHeight="1">
      <c r="A997" s="159"/>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c r="X997" s="159"/>
      <c r="Y997" s="159"/>
      <c r="Z997" s="159"/>
    </row>
    <row r="998" spans="1:26" ht="20" customHeight="1">
      <c r="A998" s="159"/>
      <c r="B998" s="159"/>
      <c r="C998" s="159"/>
      <c r="D998" s="159"/>
      <c r="E998" s="159"/>
      <c r="F998" s="159"/>
      <c r="G998" s="159"/>
      <c r="H998" s="159"/>
      <c r="I998" s="159"/>
      <c r="J998" s="159"/>
      <c r="K998" s="159"/>
      <c r="L998" s="159"/>
      <c r="M998" s="159"/>
      <c r="N998" s="159"/>
      <c r="O998" s="159"/>
      <c r="P998" s="159"/>
      <c r="Q998" s="159"/>
      <c r="R998" s="159"/>
      <c r="S998" s="159"/>
      <c r="T998" s="159"/>
      <c r="U998" s="159"/>
      <c r="V998" s="159"/>
      <c r="W998" s="159"/>
      <c r="X998" s="159"/>
      <c r="Y998" s="159"/>
      <c r="Z998" s="159"/>
    </row>
    <row r="999" spans="1:26" ht="20" customHeight="1">
      <c r="A999" s="159"/>
      <c r="B999" s="159"/>
      <c r="C999" s="159"/>
      <c r="D999" s="159"/>
      <c r="E999" s="159"/>
      <c r="F999" s="159"/>
      <c r="G999" s="159"/>
      <c r="H999" s="159"/>
      <c r="I999" s="159"/>
      <c r="J999" s="159"/>
      <c r="K999" s="159"/>
      <c r="L999" s="159"/>
      <c r="M999" s="159"/>
      <c r="N999" s="159"/>
      <c r="O999" s="159"/>
      <c r="P999" s="159"/>
      <c r="Q999" s="159"/>
      <c r="R999" s="159"/>
      <c r="S999" s="159"/>
      <c r="T999" s="159"/>
      <c r="U999" s="159"/>
      <c r="V999" s="159"/>
      <c r="W999" s="159"/>
      <c r="X999" s="159"/>
      <c r="Y999" s="159"/>
      <c r="Z999" s="159"/>
    </row>
    <row r="1000" spans="1:26" ht="20" customHeight="1">
      <c r="A1000" s="159"/>
      <c r="B1000" s="159"/>
      <c r="C1000" s="159"/>
      <c r="D1000" s="159"/>
      <c r="E1000" s="159"/>
      <c r="F1000" s="159"/>
      <c r="G1000" s="159"/>
      <c r="H1000" s="159"/>
      <c r="I1000" s="159"/>
      <c r="J1000" s="159"/>
      <c r="K1000" s="159"/>
      <c r="L1000" s="159"/>
      <c r="M1000" s="159"/>
      <c r="N1000" s="159"/>
      <c r="O1000" s="159"/>
      <c r="P1000" s="159"/>
      <c r="Q1000" s="159"/>
      <c r="R1000" s="159"/>
      <c r="S1000" s="159"/>
      <c r="T1000" s="159"/>
      <c r="U1000" s="159"/>
      <c r="V1000" s="159"/>
      <c r="W1000" s="159"/>
      <c r="X1000" s="159"/>
      <c r="Y1000" s="159"/>
      <c r="Z1000" s="159"/>
    </row>
  </sheetData>
  <mergeCells count="7">
    <mergeCell ref="B1:M1"/>
    <mergeCell ref="B2:M2"/>
    <mergeCell ref="B3:M3"/>
    <mergeCell ref="D10:E10"/>
    <mergeCell ref="D11:E11"/>
    <mergeCell ref="D12:E12"/>
    <mergeCell ref="D13:E13"/>
  </mergeCells>
  <pageMargins left="0.75" right="0.75" top="1" bottom="1" header="0.5" footer="0.5"/>
  <pageSetup fitToHeight="0" orientation="landscape"/>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764"/>
    <outlinePr summaryBelow="0" summaryRight="0"/>
    <pageSetUpPr fitToPage="1"/>
  </sheetPr>
  <dimension ref="A1:L40"/>
  <sheetViews>
    <sheetView showGridLines="0" workbookViewId="0" topLeftCell="A1"/>
  </sheetViews>
  <sheetFormatPr defaultColWidth="12.7109375" defaultRowHeight="15.75" customHeight="1"/>
  <cols>
    <col min="1" max="1" width="32" style="74" customWidth="1"/>
    <col min="2" max="2" width="26" style="74" customWidth="1"/>
    <col min="3" max="3" width="18" style="74" customWidth="1"/>
    <col min="4" max="4" width="30" style="74" customWidth="1"/>
    <col min="5" max="5" width="19" style="74" customWidth="1"/>
    <col min="6" max="6" width="20" style="74" customWidth="1"/>
    <col min="7" max="7" width="24" style="74" customWidth="1"/>
    <col min="8" max="8" width="22" style="74" customWidth="1"/>
    <col min="9" max="9" width="24" style="74" customWidth="1"/>
    <col min="10" max="10" width="18" style="74" customWidth="1"/>
    <col min="11" max="11" width="13" style="74" customWidth="1"/>
    <col min="12" max="12" width="58" style="74" customWidth="1"/>
    <col min="13" max="16384" width="12.7109375" style="74"/>
  </cols>
  <sheetData>
    <row r="1" spans="1:12" ht="34.0" customHeight="1">
      <c r="A1" s="224" t="s">
        <v>77</v>
      </c>
      <c r="B1" s="225"/>
      <c r="C1" s="225"/>
      <c r="D1" s="225"/>
      <c r="E1" s="225"/>
      <c r="F1" s="225"/>
      <c r="G1" s="225"/>
      <c r="H1" s="225"/>
      <c r="I1" s="225"/>
      <c r="J1" s="225"/>
      <c r="K1" s="225"/>
      <c r="L1" s="225"/>
    </row>
    <row r="2" spans="1:12" ht="40.0" customHeight="1">
      <c r="A2" s="226" t="s">
        <v>78</v>
      </c>
      <c r="B2" s="225"/>
      <c r="C2" s="225"/>
      <c r="D2" s="225"/>
      <c r="E2" s="225"/>
      <c r="F2" s="225"/>
      <c r="G2" s="225"/>
      <c r="H2" s="225"/>
      <c r="I2" s="225"/>
      <c r="J2" s="225"/>
      <c r="K2" s="225"/>
      <c r="L2" s="225"/>
    </row>
    <row r="3" spans="1:12" ht="24.0" customHeight="1">
      <c r="A3" s="226" t="s">
        <v>79</v>
      </c>
      <c r="B3" s="225"/>
      <c r="C3" s="225"/>
      <c r="D3" s="225"/>
      <c r="E3" s="225"/>
      <c r="F3" s="225"/>
      <c r="G3" s="225"/>
      <c r="H3" s="225"/>
      <c r="I3" s="225"/>
      <c r="J3" s="225"/>
      <c r="K3" s="225"/>
      <c r="L3" s="225"/>
    </row>
    <row r="4" spans="1:12" ht="20" customHeight="1">
      <c r="A4" s="227"/>
      <c r="B4" s="227"/>
      <c r="C4" s="227"/>
      <c r="D4" s="227"/>
      <c r="E4" s="227"/>
      <c r="F4" s="227"/>
      <c r="G4" s="227"/>
      <c r="H4" s="227"/>
      <c r="I4" s="227"/>
      <c r="J4" s="227"/>
      <c r="K4" s="227"/>
      <c r="L4" s="227"/>
    </row>
    <row r="5" spans="1:12" ht="20" customHeight="1">
      <c r="A5" s="228" t="s">
        <v>80</v>
      </c>
      <c r="B5" s="228"/>
      <c r="C5" s="228"/>
      <c r="D5" s="228" t="s">
        <v>81</v>
      </c>
      <c r="E5" s="228"/>
      <c r="F5" s="227"/>
      <c r="G5" s="227"/>
      <c r="H5" s="227"/>
      <c r="I5" s="227"/>
      <c r="J5" s="227"/>
      <c r="K5" s="227"/>
      <c r="L5" s="227"/>
    </row>
    <row r="6" spans="1:12" ht="20" customHeight="1">
      <c r="A6" s="229" t="s">
        <v>15</v>
      </c>
      <c r="B6" s="230">
        <f>StartCash</f>
        <v>300000</v>
      </c>
      <c r="C6" s="231"/>
      <c r="D6" s="232" t="s">
        <v>82</v>
      </c>
      <c r="E6" s="233">
        <f>SUM(J14:J23)</f>
        <v>292257.09999999998</v>
      </c>
      <c r="F6" s="227"/>
      <c r="G6" s="227"/>
      <c r="H6" s="227"/>
      <c r="I6" s="227"/>
      <c r="J6" s="227"/>
      <c r="K6" s="227"/>
      <c r="L6" s="227"/>
    </row>
    <row r="7" spans="1:12" ht="20" customHeight="1">
      <c r="A7" s="229" t="s">
        <v>83</v>
      </c>
      <c r="B7" s="230">
        <f>CommETF</f>
        <v>25</v>
      </c>
      <c r="C7" s="231"/>
      <c r="D7" s="232" t="s">
        <v>84</v>
      </c>
      <c r="E7" s="233">
        <f>COUNTIF(C14:C23,"ETF")*B7+COUNTIF(C14:C23,"Treasury bond")*B8</f>
        <v>175</v>
      </c>
      <c r="F7" s="227"/>
      <c r="G7" s="227"/>
      <c r="H7" s="227"/>
      <c r="I7" s="227"/>
      <c r="J7" s="227"/>
      <c r="K7" s="227"/>
      <c r="L7" s="227"/>
    </row>
    <row r="8" spans="1:12" ht="20" customHeight="1">
      <c r="A8" s="229" t="s">
        <v>85</v>
      </c>
      <c r="B8" s="230">
        <f>CommBond</f>
        <v>10</v>
      </c>
      <c r="C8" s="231"/>
      <c r="D8" s="232" t="s">
        <v>86</v>
      </c>
      <c r="E8" s="233">
        <f>B6-E6-E7</f>
        <v>7567.9000000000233</v>
      </c>
      <c r="F8" s="227"/>
      <c r="G8" s="227"/>
      <c r="H8" s="227"/>
      <c r="I8" s="227"/>
      <c r="J8" s="227"/>
      <c r="K8" s="227"/>
      <c r="L8" s="227"/>
    </row>
    <row r="9" spans="1:12" ht="20" customHeight="1">
      <c r="A9" s="229" t="s">
        <v>87</v>
      </c>
      <c r="B9" s="234">
        <v>50000</v>
      </c>
      <c r="C9" s="231"/>
      <c r="D9" s="232" t="s">
        <v>88</v>
      </c>
      <c r="E9" s="235">
        <f>IF(B6=0,0,E8/B6)</f>
        <v>2.522633333333341E-2</v>
      </c>
      <c r="F9" s="227"/>
      <c r="G9" s="227"/>
      <c r="H9" s="227"/>
      <c r="I9" s="227"/>
      <c r="J9" s="227"/>
      <c r="K9" s="227"/>
      <c r="L9" s="227"/>
    </row>
    <row r="10" spans="1:12" ht="20" customHeight="1">
      <c r="A10" s="231"/>
      <c r="B10" s="231"/>
      <c r="C10" s="231"/>
      <c r="D10" s="232" t="s">
        <v>89</v>
      </c>
      <c r="E10" s="236">
        <f>COUNTA(B14:B23)</f>
        <v>10</v>
      </c>
      <c r="F10" s="227"/>
      <c r="G10" s="227"/>
      <c r="H10" s="227"/>
      <c r="I10" s="227"/>
      <c r="J10" s="227"/>
      <c r="K10" s="227"/>
      <c r="L10" s="227"/>
    </row>
    <row r="11" spans="1:12" ht="20" customHeight="1">
      <c r="A11" s="227"/>
      <c r="B11" s="227"/>
      <c r="C11" s="227"/>
      <c r="D11" s="227"/>
      <c r="E11" s="227"/>
      <c r="F11" s="227"/>
      <c r="G11" s="227"/>
      <c r="H11" s="227"/>
      <c r="I11" s="227"/>
      <c r="J11" s="227"/>
      <c r="K11" s="227"/>
      <c r="L11" s="227"/>
    </row>
    <row r="12" spans="1:12">
      <c r="A12" s="237" t="s">
        <v>31</v>
      </c>
      <c r="B12" s="227"/>
      <c r="C12" s="227"/>
      <c r="D12" s="227"/>
      <c r="E12" s="227"/>
      <c r="F12" s="227"/>
      <c r="G12" s="227"/>
      <c r="H12" s="227"/>
      <c r="I12" s="227"/>
      <c r="J12" s="227"/>
      <c r="K12" s="227"/>
      <c r="L12" s="227"/>
    </row>
    <row r="13" spans="1:12" ht="62.0" customHeight="1">
      <c r="A13" s="228" t="s">
        <v>90</v>
      </c>
      <c r="B13" s="228" t="s">
        <v>32</v>
      </c>
      <c r="C13" s="228" t="s">
        <v>34</v>
      </c>
      <c r="D13" s="228" t="s">
        <v>91</v>
      </c>
      <c r="E13" s="228" t="s">
        <v>92</v>
      </c>
      <c r="F13" s="228" t="s">
        <v>93</v>
      </c>
      <c r="G13" s="228" t="s">
        <v>94</v>
      </c>
      <c r="H13" s="228" t="s">
        <v>95</v>
      </c>
      <c r="I13" s="228" t="s">
        <v>96</v>
      </c>
      <c r="J13" s="228" t="s">
        <v>97</v>
      </c>
      <c r="K13" s="228" t="s">
        <v>98</v>
      </c>
      <c r="L13" s="228" t="s">
        <v>99</v>
      </c>
    </row>
    <row r="14" spans="1:12" ht="24.0" customHeight="1">
      <c r="A14" s="238" t="s">
        <v>100</v>
      </c>
      <c r="B14" s="239" t="s">
        <v>44</v>
      </c>
      <c r="C14" s="239" t="s">
        <v>46</v>
      </c>
      <c r="D14" s="238" t="s">
        <v>101</v>
      </c>
      <c r="E14" s="240">
        <v>0.72982499999999995</v>
      </c>
      <c r="F14" s="241">
        <f t="shared" ref="F14:F23" si="0">$B$9*E14</f>
        <v>36491.25</v>
      </c>
      <c r="G14" s="242">
        <v>21.75</v>
      </c>
      <c r="H14" s="229"/>
      <c r="I14" s="243">
        <f t="shared" ref="I14:I23" si="1">IF(C14="Treasury bond",ROUNDUP(F14/((G14+H14)/100),-3),ROUNDUP(F14/G14,0))</f>
        <v>1678</v>
      </c>
      <c r="J14" s="241">
        <f t="shared" ref="J14:J23" si="2">IF(C14="Treasury bond",I14*(G14+H14)/100,I14*G14)</f>
        <v>36496.5</v>
      </c>
      <c r="K14" s="244">
        <f t="shared" ref="K14:K23" si="3">IF($B$6=0,0,J14/$B$6)</f>
        <v>0.121655</v>
      </c>
      <c r="L14" s="245" t="s">
        <v>102</v>
      </c>
    </row>
    <row r="15" spans="1:12" ht="20" customHeight="1">
      <c r="A15" s="238" t="s">
        <v>103</v>
      </c>
      <c r="B15" s="239" t="s">
        <v>48</v>
      </c>
      <c r="C15" s="239" t="s">
        <v>46</v>
      </c>
      <c r="D15" s="238" t="s">
        <v>104</v>
      </c>
      <c r="E15" s="240">
        <v>0.69150900000000004</v>
      </c>
      <c r="F15" s="241">
        <f t="shared" si="0"/>
        <v>34575.450000000004</v>
      </c>
      <c r="G15" s="242">
        <v>23</v>
      </c>
      <c r="H15" s="229"/>
      <c r="I15" s="243">
        <f t="shared" si="1"/>
        <v>1504</v>
      </c>
      <c r="J15" s="241">
        <f t="shared" si="2"/>
        <v>34592</v>
      </c>
      <c r="K15" s="244">
        <f t="shared" si="3"/>
        <v>0.11530666666666667</v>
      </c>
      <c r="L15" s="245" t="s">
        <v>105</v>
      </c>
    </row>
    <row r="16" spans="1:12" ht="20" customHeight="1">
      <c r="A16" s="238" t="s">
        <v>106</v>
      </c>
      <c r="B16" s="239" t="s">
        <v>50</v>
      </c>
      <c r="C16" s="239" t="s">
        <v>46</v>
      </c>
      <c r="D16" s="238" t="s">
        <v>107</v>
      </c>
      <c r="E16" s="240">
        <v>0.65528799999999998</v>
      </c>
      <c r="F16" s="241">
        <f t="shared" si="0"/>
        <v>32764.399999999998</v>
      </c>
      <c r="G16" s="242">
        <v>24.09</v>
      </c>
      <c r="H16" s="229"/>
      <c r="I16" s="243">
        <f t="shared" si="1"/>
        <v>1361</v>
      </c>
      <c r="J16" s="241">
        <f t="shared" si="2"/>
        <v>32786.49</v>
      </c>
      <c r="K16" s="244">
        <f t="shared" si="3"/>
        <v>0.10928829999999999</v>
      </c>
      <c r="L16" s="245" t="s">
        <v>108</v>
      </c>
    </row>
    <row r="17" spans="1:12" ht="20" customHeight="1">
      <c r="A17" s="238" t="s">
        <v>109</v>
      </c>
      <c r="B17" s="239" t="s">
        <v>52</v>
      </c>
      <c r="C17" s="239" t="s">
        <v>46</v>
      </c>
      <c r="D17" s="238" t="s">
        <v>110</v>
      </c>
      <c r="E17" s="240">
        <v>0.62050099999999997</v>
      </c>
      <c r="F17" s="241">
        <f t="shared" si="0"/>
        <v>31025.05</v>
      </c>
      <c r="G17" s="242">
        <v>23.68</v>
      </c>
      <c r="H17" s="229"/>
      <c r="I17" s="243">
        <f t="shared" si="1"/>
        <v>1311</v>
      </c>
      <c r="J17" s="241">
        <f t="shared" si="2"/>
        <v>31044.48</v>
      </c>
      <c r="K17" s="244">
        <f t="shared" si="3"/>
        <v>0.10348159999999999</v>
      </c>
      <c r="L17" s="245" t="s">
        <v>111</v>
      </c>
    </row>
    <row r="18" spans="1:12" ht="20" customHeight="1">
      <c r="A18" s="238" t="s">
        <v>112</v>
      </c>
      <c r="B18" s="239" t="s">
        <v>54</v>
      </c>
      <c r="C18" s="239" t="s">
        <v>46</v>
      </c>
      <c r="D18" s="238" t="s">
        <v>113</v>
      </c>
      <c r="E18" s="240">
        <v>0.58691400000000005</v>
      </c>
      <c r="F18" s="241">
        <f t="shared" si="0"/>
        <v>29345.7</v>
      </c>
      <c r="G18" s="242">
        <v>23.46</v>
      </c>
      <c r="H18" s="229"/>
      <c r="I18" s="243">
        <f t="shared" si="1"/>
        <v>1251</v>
      </c>
      <c r="J18" s="241">
        <f t="shared" si="2"/>
        <v>29348.460000000003</v>
      </c>
      <c r="K18" s="244">
        <f t="shared" si="3"/>
        <v>9.7828200000000004E-2</v>
      </c>
      <c r="L18" s="245" t="s">
        <v>114</v>
      </c>
    </row>
    <row r="19" spans="1:12" ht="20" customHeight="1">
      <c r="A19" s="238" t="s">
        <v>115</v>
      </c>
      <c r="B19" s="239" t="s">
        <v>56</v>
      </c>
      <c r="C19" s="239" t="s">
        <v>58</v>
      </c>
      <c r="D19" s="238" t="s">
        <v>116</v>
      </c>
      <c r="E19" s="240">
        <v>0.58130199999999999</v>
      </c>
      <c r="F19" s="241">
        <f t="shared" si="0"/>
        <v>29065.1</v>
      </c>
      <c r="G19" s="246">
        <v>97.152000000000001</v>
      </c>
      <c r="H19" s="246">
        <v>0.56000000000000005</v>
      </c>
      <c r="I19" s="243">
        <f t="shared" si="1"/>
        <v>30000</v>
      </c>
      <c r="J19" s="241">
        <f t="shared" si="2"/>
        <v>29313.599999999999</v>
      </c>
      <c r="K19" s="244">
        <f t="shared" si="3"/>
        <v>9.7711999999999993E-2</v>
      </c>
      <c r="L19" s="245" t="s">
        <v>117</v>
      </c>
    </row>
    <row r="20" spans="1:12" ht="24.0" customHeight="1">
      <c r="A20" s="238" t="s">
        <v>118</v>
      </c>
      <c r="B20" s="239" t="s">
        <v>60</v>
      </c>
      <c r="C20" s="239" t="s">
        <v>58</v>
      </c>
      <c r="D20" s="238" t="s">
        <v>119</v>
      </c>
      <c r="E20" s="240">
        <v>0.54130599999999995</v>
      </c>
      <c r="F20" s="241">
        <f t="shared" si="0"/>
        <v>27065.3</v>
      </c>
      <c r="G20" s="246">
        <v>94.281000000000006</v>
      </c>
      <c r="H20" s="246">
        <v>0.53</v>
      </c>
      <c r="I20" s="243">
        <f t="shared" si="1"/>
        <v>29000</v>
      </c>
      <c r="J20" s="241">
        <f t="shared" si="2"/>
        <v>27495.19</v>
      </c>
      <c r="K20" s="244">
        <f t="shared" si="3"/>
        <v>9.1650633333333328E-2</v>
      </c>
      <c r="L20" s="245" t="s">
        <v>120</v>
      </c>
    </row>
    <row r="21" spans="1:12" ht="20" customHeight="1">
      <c r="A21" s="238" t="s">
        <v>121</v>
      </c>
      <c r="B21" s="239" t="s">
        <v>63</v>
      </c>
      <c r="C21" s="239" t="s">
        <v>58</v>
      </c>
      <c r="D21" s="238" t="s">
        <v>122</v>
      </c>
      <c r="E21" s="240">
        <v>0.49553999999999998</v>
      </c>
      <c r="F21" s="241">
        <f t="shared" si="0"/>
        <v>24777</v>
      </c>
      <c r="G21" s="246">
        <v>91.363</v>
      </c>
      <c r="H21" s="246">
        <v>1.6060000000000001</v>
      </c>
      <c r="I21" s="243">
        <f t="shared" si="1"/>
        <v>27000</v>
      </c>
      <c r="J21" s="241">
        <f t="shared" si="2"/>
        <v>25101.63</v>
      </c>
      <c r="K21" s="244">
        <f t="shared" si="3"/>
        <v>8.3672099999999999E-2</v>
      </c>
      <c r="L21" s="245" t="s">
        <v>123</v>
      </c>
    </row>
    <row r="22" spans="1:12" ht="20" customHeight="1">
      <c r="A22" s="238" t="s">
        <v>124</v>
      </c>
      <c r="B22" s="239" t="s">
        <v>66</v>
      </c>
      <c r="C22" s="239" t="s">
        <v>58</v>
      </c>
      <c r="D22" s="238" t="s">
        <v>125</v>
      </c>
      <c r="E22" s="240">
        <v>0.46655799999999997</v>
      </c>
      <c r="F22" s="241">
        <f t="shared" si="0"/>
        <v>23327.899999999998</v>
      </c>
      <c r="G22" s="246">
        <v>89.186000000000007</v>
      </c>
      <c r="H22" s="246">
        <v>1.5720000000000001</v>
      </c>
      <c r="I22" s="243">
        <f t="shared" si="1"/>
        <v>26000</v>
      </c>
      <c r="J22" s="241">
        <f t="shared" si="2"/>
        <v>23597.080000000005</v>
      </c>
      <c r="K22" s="244">
        <f t="shared" si="3"/>
        <v>7.8656933333333345E-2</v>
      </c>
      <c r="L22" s="245" t="s">
        <v>126</v>
      </c>
    </row>
    <row r="23" spans="1:12" ht="20" customHeight="1">
      <c r="A23" s="238" t="s">
        <v>127</v>
      </c>
      <c r="B23" s="239" t="s">
        <v>69</v>
      </c>
      <c r="C23" s="239" t="s">
        <v>58</v>
      </c>
      <c r="D23" s="238" t="s">
        <v>128</v>
      </c>
      <c r="E23" s="240">
        <v>0.43883499999999998</v>
      </c>
      <c r="F23" s="241">
        <f t="shared" si="0"/>
        <v>21941.75</v>
      </c>
      <c r="G23" s="246">
        <v>76.367000000000004</v>
      </c>
      <c r="H23" s="246">
        <v>1.1559999999999999</v>
      </c>
      <c r="I23" s="243">
        <f t="shared" si="1"/>
        <v>29000</v>
      </c>
      <c r="J23" s="241">
        <f t="shared" si="2"/>
        <v>22481.670000000006</v>
      </c>
      <c r="K23" s="244">
        <f t="shared" si="3"/>
        <v>7.4938900000000017E-2</v>
      </c>
      <c r="L23" s="245" t="s">
        <v>129</v>
      </c>
    </row>
    <row r="24" spans="1:12" ht="20" customHeight="1">
      <c r="A24" s="232" t="s">
        <v>76</v>
      </c>
      <c r="B24" s="232"/>
      <c r="C24" s="232"/>
      <c r="D24" s="232"/>
      <c r="E24" s="232"/>
      <c r="F24" s="247">
        <f>SUM(F14:F23)</f>
        <v>290378.90000000002</v>
      </c>
      <c r="G24" s="232"/>
      <c r="H24" s="232"/>
      <c r="I24" s="232"/>
      <c r="J24" s="247">
        <f>SUM(J14:J23)</f>
        <v>292257.09999999998</v>
      </c>
      <c r="K24" s="248">
        <f>SUM(K14:K23)</f>
        <v>0.97419033333333349</v>
      </c>
      <c r="L24" s="232"/>
    </row>
    <row r="25" spans="1:12" ht="20" customHeight="1">
      <c r="A25" s="159"/>
      <c r="B25" s="159"/>
      <c r="C25" s="159"/>
      <c r="D25" s="159"/>
      <c r="E25" s="159"/>
      <c r="F25" s="159"/>
      <c r="G25" s="159"/>
      <c r="H25" s="159"/>
      <c r="I25" s="159"/>
      <c r="J25" s="159"/>
      <c r="K25" s="159"/>
      <c r="L25" s="159"/>
    </row>
    <row r="26" spans="1:12" ht="20" customHeight="1">
      <c r="A26" s="159"/>
      <c r="B26" s="159"/>
      <c r="C26" s="159"/>
      <c r="D26" s="159"/>
      <c r="E26" s="159"/>
      <c r="F26" s="159"/>
      <c r="G26" s="159"/>
      <c r="H26" s="159"/>
      <c r="I26" s="159"/>
      <c r="J26" s="159"/>
      <c r="K26" s="159"/>
      <c r="L26" s="159"/>
    </row>
    <row r="27" spans="1:12" ht="20" customHeight="1">
      <c r="A27" s="159"/>
      <c r="B27" s="159"/>
      <c r="C27" s="159"/>
      <c r="D27" s="159"/>
      <c r="E27" s="159"/>
      <c r="F27" s="159"/>
      <c r="G27" s="159"/>
      <c r="H27" s="159"/>
      <c r="I27" s="159"/>
      <c r="J27" s="159"/>
      <c r="K27" s="159"/>
      <c r="L27" s="159"/>
    </row>
    <row r="28" spans="1:12" ht="20" customHeight="1">
      <c r="A28" s="159"/>
      <c r="B28" s="159"/>
      <c r="C28" s="159"/>
      <c r="D28" s="159"/>
      <c r="E28" s="159"/>
      <c r="F28" s="159"/>
      <c r="G28" s="159"/>
      <c r="H28" s="159"/>
      <c r="I28" s="159"/>
      <c r="J28" s="159"/>
      <c r="K28" s="159"/>
      <c r="L28" s="159"/>
    </row>
    <row r="29" spans="1:12" ht="20" customHeight="1">
      <c r="A29" s="159"/>
      <c r="B29" s="159"/>
      <c r="C29" s="159"/>
      <c r="D29" s="159"/>
      <c r="E29" s="159"/>
      <c r="F29" s="159"/>
      <c r="G29" s="159"/>
      <c r="H29" s="159"/>
      <c r="I29" s="159"/>
      <c r="J29" s="159"/>
      <c r="K29" s="159"/>
      <c r="L29" s="159"/>
    </row>
    <row r="30" spans="1:12" ht="20" customHeight="1">
      <c r="A30" s="159"/>
      <c r="B30" s="159"/>
      <c r="C30" s="159"/>
      <c r="D30" s="159"/>
      <c r="E30" s="159"/>
      <c r="F30" s="159"/>
      <c r="G30" s="159"/>
      <c r="H30" s="159"/>
      <c r="I30" s="159"/>
      <c r="J30" s="159"/>
      <c r="K30" s="159"/>
      <c r="L30" s="159"/>
    </row>
    <row r="31" spans="1:12" ht="20" customHeight="1">
      <c r="A31" s="159"/>
      <c r="B31" s="159"/>
      <c r="C31" s="159"/>
      <c r="D31" s="159"/>
      <c r="E31" s="159"/>
      <c r="F31" s="159"/>
      <c r="G31" s="159"/>
      <c r="H31" s="159"/>
      <c r="I31" s="159"/>
      <c r="J31" s="159"/>
      <c r="K31" s="159"/>
      <c r="L31" s="159"/>
    </row>
    <row r="32" spans="1:12" ht="20" customHeight="1">
      <c r="A32" s="159"/>
      <c r="B32" s="159"/>
      <c r="C32" s="159"/>
      <c r="D32" s="159"/>
      <c r="E32" s="159"/>
      <c r="F32" s="159"/>
      <c r="G32" s="159"/>
      <c r="H32" s="159"/>
      <c r="I32" s="159"/>
      <c r="J32" s="159"/>
      <c r="K32" s="159"/>
      <c r="L32" s="159"/>
    </row>
    <row r="33" spans="1:12" ht="20" customHeight="1">
      <c r="A33" s="159"/>
      <c r="B33" s="159"/>
      <c r="C33" s="159"/>
      <c r="D33" s="159"/>
      <c r="E33" s="159"/>
      <c r="F33" s="159"/>
      <c r="G33" s="159"/>
      <c r="H33" s="159"/>
      <c r="I33" s="159"/>
      <c r="J33" s="159"/>
      <c r="K33" s="159"/>
      <c r="L33" s="159"/>
    </row>
    <row r="34" spans="1:12" ht="20" customHeight="1">
      <c r="A34" s="159"/>
      <c r="B34" s="159"/>
      <c r="C34" s="159"/>
      <c r="D34" s="159"/>
      <c r="E34" s="159"/>
      <c r="F34" s="159"/>
      <c r="G34" s="159"/>
      <c r="H34" s="159"/>
      <c r="I34" s="159"/>
      <c r="J34" s="159"/>
      <c r="K34" s="159"/>
      <c r="L34" s="159"/>
    </row>
    <row r="35" spans="1:12" ht="20" customHeight="1">
      <c r="A35" s="159"/>
      <c r="B35" s="159"/>
      <c r="C35" s="159"/>
      <c r="D35" s="159"/>
      <c r="E35" s="159"/>
      <c r="F35" s="159"/>
      <c r="G35" s="159"/>
      <c r="H35" s="159"/>
      <c r="I35" s="159"/>
      <c r="J35" s="159"/>
      <c r="K35" s="159"/>
      <c r="L35" s="159"/>
    </row>
    <row r="36" spans="1:12" ht="20" customHeight="1">
      <c r="A36" s="159"/>
      <c r="B36" s="159"/>
      <c r="C36" s="159"/>
      <c r="D36" s="159"/>
      <c r="E36" s="159"/>
      <c r="F36" s="159"/>
      <c r="G36" s="159"/>
      <c r="H36" s="159"/>
      <c r="I36" s="159"/>
      <c r="J36" s="159"/>
      <c r="K36" s="159"/>
      <c r="L36" s="159"/>
    </row>
    <row r="37" spans="1:12" ht="20" customHeight="1">
      <c r="A37" s="159"/>
      <c r="B37" s="159"/>
      <c r="C37" s="159"/>
      <c r="D37" s="159"/>
      <c r="E37" s="159"/>
      <c r="F37" s="159"/>
      <c r="G37" s="159"/>
      <c r="H37" s="159"/>
      <c r="I37" s="159"/>
      <c r="J37" s="159"/>
      <c r="K37" s="159"/>
      <c r="L37" s="159"/>
    </row>
    <row r="38" spans="1:12" ht="20" customHeight="1">
      <c r="A38" s="159"/>
      <c r="B38" s="159"/>
      <c r="C38" s="159"/>
      <c r="D38" s="159"/>
      <c r="E38" s="159"/>
      <c r="F38" s="159"/>
      <c r="G38" s="159"/>
      <c r="H38" s="159"/>
      <c r="I38" s="159"/>
      <c r="J38" s="159"/>
      <c r="K38" s="159"/>
      <c r="L38" s="159"/>
    </row>
    <row r="39" spans="1:12" ht="20" customHeight="1">
      <c r="A39" s="159"/>
      <c r="B39" s="159"/>
      <c r="C39" s="159"/>
      <c r="D39" s="159"/>
      <c r="E39" s="159"/>
      <c r="F39" s="159"/>
      <c r="G39" s="159"/>
      <c r="H39" s="159"/>
      <c r="I39" s="159"/>
      <c r="J39" s="159"/>
      <c r="K39" s="159"/>
      <c r="L39" s="159"/>
    </row>
    <row r="40" spans="1:12" ht="20" customHeight="1">
      <c r="A40" s="159"/>
      <c r="B40" s="159"/>
      <c r="C40" s="159"/>
      <c r="D40" s="159"/>
      <c r="E40" s="159"/>
      <c r="F40" s="159"/>
      <c r="G40" s="159"/>
      <c r="H40" s="159"/>
      <c r="I40" s="159"/>
      <c r="J40" s="159"/>
      <c r="K40" s="159"/>
      <c r="L40" s="159"/>
    </row>
  </sheetData>
  <mergeCells count="3">
    <mergeCell ref="A1:L1"/>
    <mergeCell ref="A2:L2"/>
    <mergeCell ref="A3:L3"/>
  </mergeCells>
  <pageMargins left="0.75" right="0.75" top="1" bottom="1" header="0.5" footer="0.5"/>
  <pageSetup fitToHeight="0"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outlinePr summaryBelow="0" summaryRight="0"/>
    <pageSetUpPr fitToPage="1"/>
  </sheetPr>
  <dimension ref="A1:Q210"/>
  <sheetViews>
    <sheetView showGridLines="0" workbookViewId="0" topLeftCell="A1">
      <selection activeCell="B2" sqref="B2"/>
    </sheetView>
  </sheetViews>
  <sheetFormatPr defaultColWidth="12.7109375" defaultRowHeight="15.75" customHeight="1"/>
  <cols>
    <col min="1" max="1" width="9" customWidth="1"/>
    <col min="2" max="2" width="18" customWidth="1"/>
    <col min="3" max="3" width="25" customWidth="1"/>
    <col min="4" max="4" width="20" customWidth="1"/>
    <col min="5" max="5" width="14" customWidth="1"/>
    <col min="6" max="6" width="22" customWidth="1"/>
    <col min="7" max="7" width="24" customWidth="1"/>
    <col min="8" max="8" width="24" customWidth="1"/>
    <col min="9" max="9" width="18" customWidth="1"/>
    <col min="10" max="10" width="20" customWidth="1"/>
    <col min="11" max="11" width="20" customWidth="1"/>
    <col min="12" max="12" width="25" customWidth="1"/>
    <col min="13" max="13" width="66" customWidth="1"/>
    <col min="14" max="14" width="19" customWidth="1"/>
    <col min="15" max="15" width="20" customWidth="1"/>
    <col min="16" max="16" width="20" customWidth="1"/>
    <col min="17" max="17" width="20" customWidth="1"/>
  </cols>
  <sheetData>
    <row r="1" spans="1:17" ht="62.0" customHeight="1">
      <c r="A1" s="249" t="s">
        <v>130</v>
      </c>
      <c r="B1" s="249" t="s">
        <v>131</v>
      </c>
      <c r="C1" s="249" t="s">
        <v>132</v>
      </c>
      <c r="D1" s="249" t="s">
        <v>34</v>
      </c>
      <c r="E1" s="249" t="s">
        <v>133</v>
      </c>
      <c r="F1" s="249" t="s">
        <v>134</v>
      </c>
      <c r="G1" s="249" t="s">
        <v>135</v>
      </c>
      <c r="H1" s="249" t="s">
        <v>136</v>
      </c>
      <c r="I1" s="249" t="s">
        <v>137</v>
      </c>
      <c r="J1" s="249" t="s">
        <v>138</v>
      </c>
      <c r="K1" s="249" t="s">
        <v>139</v>
      </c>
      <c r="L1" s="249" t="s">
        <v>33</v>
      </c>
      <c r="M1" s="249" t="s">
        <v>140</v>
      </c>
      <c r="N1" s="249" t="s">
        <v>141</v>
      </c>
      <c r="O1" s="249" t="s">
        <v>142</v>
      </c>
      <c r="P1" s="249" t="s">
        <v>143</v>
      </c>
      <c r="Q1" s="249" t="s">
        <v>144</v>
      </c>
    </row>
    <row r="2" spans="1:17" ht="20" customHeight="1">
      <c r="A2" s="250" t="str">
        <f t="shared" ref="A2:A65" si="0">IF(C2="","",ROW()-1)</f>
        <v/>
      </c>
      <c r="B2" s="251"/>
      <c r="C2" s="252"/>
      <c r="D2" s="252"/>
      <c r="E2" s="252"/>
      <c r="F2" s="253"/>
      <c r="G2" s="254"/>
      <c r="H2" s="255"/>
      <c r="I2" s="256" t="str">
        <f t="shared" ref="I2:I65" si="1">IF(C2="","",IF(D2="Treasury bond",CommBond,CommETF))</f>
        <v/>
      </c>
      <c r="J2" s="256" t="str">
        <f t="shared" ref="J2:J65" si="2">IF(C2="","",IF(D2="Treasury bond",F2*G2/100,F2*G2))</f>
        <v/>
      </c>
      <c r="K2" s="256" t="str">
        <f t="shared" ref="K2:K65" si="3">IF(C2="","",IF(E2="Buy",-(J2+N(H2)+I2),J2+N(H2)-I2))</f>
        <v/>
      </c>
      <c r="L2" s="250" t="str">
        <f t="shared" ref="L2:L65" si="4">IF(C2="","",IFERROR(VLOOKUP(C2,PlanHoldings,2,FALSE),"Not in plan"))</f>
        <v/>
      </c>
      <c r="M2" s="257"/>
      <c r="N2" s="250" t="str">
        <f t="shared" ref="N2:N65" si="5">IF(M2="","",LEN(M2))</f>
        <v/>
      </c>
      <c r="O2" s="250" t="str">
        <f t="shared" ref="O2:O65" si="6">IF(OR(M2="",NoteLimit=""),"",IF(N2&lt;=NoteLimit,"OK","Too long"))</f>
        <v/>
      </c>
      <c r="P2" s="252"/>
      <c r="Q2" s="250" t="b">
        <v>0</v>
      </c>
    </row>
    <row r="3" spans="1:17" ht="20" customHeight="1">
      <c r="A3" s="250" t="str">
        <f t="shared" si="0"/>
        <v/>
      </c>
      <c r="B3" s="251"/>
      <c r="C3" s="252"/>
      <c r="D3" s="252"/>
      <c r="E3" s="252"/>
      <c r="F3" s="253"/>
      <c r="G3" s="254"/>
      <c r="H3" s="255"/>
      <c r="I3" s="256" t="str">
        <f t="shared" si="1"/>
        <v/>
      </c>
      <c r="J3" s="256" t="str">
        <f t="shared" si="2"/>
        <v/>
      </c>
      <c r="K3" s="256" t="str">
        <f t="shared" si="3"/>
        <v/>
      </c>
      <c r="L3" s="250" t="str">
        <f t="shared" si="4"/>
        <v/>
      </c>
      <c r="M3" s="257"/>
      <c r="N3" s="250" t="str">
        <f t="shared" si="5"/>
        <v/>
      </c>
      <c r="O3" s="250" t="str">
        <f t="shared" si="6"/>
        <v/>
      </c>
      <c r="P3" s="252"/>
      <c r="Q3" s="250" t="b">
        <v>0</v>
      </c>
    </row>
    <row r="4" spans="1:17" ht="20" customHeight="1">
      <c r="A4" s="250" t="str">
        <f t="shared" si="0"/>
        <v/>
      </c>
      <c r="B4" s="251"/>
      <c r="C4" s="252"/>
      <c r="D4" s="252"/>
      <c r="E4" s="252"/>
      <c r="F4" s="253"/>
      <c r="G4" s="254"/>
      <c r="H4" s="255"/>
      <c r="I4" s="256" t="str">
        <f t="shared" si="1"/>
        <v/>
      </c>
      <c r="J4" s="256" t="str">
        <f t="shared" si="2"/>
        <v/>
      </c>
      <c r="K4" s="256" t="str">
        <f t="shared" si="3"/>
        <v/>
      </c>
      <c r="L4" s="250" t="str">
        <f t="shared" si="4"/>
        <v/>
      </c>
      <c r="M4" s="257"/>
      <c r="N4" s="250" t="str">
        <f t="shared" si="5"/>
        <v/>
      </c>
      <c r="O4" s="250" t="str">
        <f t="shared" si="6"/>
        <v/>
      </c>
      <c r="P4" s="252"/>
      <c r="Q4" s="250" t="b">
        <v>0</v>
      </c>
    </row>
    <row r="5" spans="1:17" ht="20" customHeight="1">
      <c r="A5" s="250" t="str">
        <f t="shared" si="0"/>
        <v/>
      </c>
      <c r="B5" s="251"/>
      <c r="C5" s="252"/>
      <c r="D5" s="252"/>
      <c r="E5" s="252"/>
      <c r="F5" s="253"/>
      <c r="G5" s="254"/>
      <c r="H5" s="255"/>
      <c r="I5" s="256" t="str">
        <f t="shared" si="1"/>
        <v/>
      </c>
      <c r="J5" s="256" t="str">
        <f t="shared" si="2"/>
        <v/>
      </c>
      <c r="K5" s="256" t="str">
        <f t="shared" si="3"/>
        <v/>
      </c>
      <c r="L5" s="250" t="str">
        <f t="shared" si="4"/>
        <v/>
      </c>
      <c r="M5" s="257"/>
      <c r="N5" s="250" t="str">
        <f t="shared" si="5"/>
        <v/>
      </c>
      <c r="O5" s="250" t="str">
        <f t="shared" si="6"/>
        <v/>
      </c>
      <c r="P5" s="252"/>
      <c r="Q5" s="250" t="b">
        <v>0</v>
      </c>
    </row>
    <row r="6" spans="1:17" ht="20" customHeight="1">
      <c r="A6" s="250" t="str">
        <f t="shared" si="0"/>
        <v/>
      </c>
      <c r="B6" s="251"/>
      <c r="C6" s="252"/>
      <c r="D6" s="252"/>
      <c r="E6" s="252"/>
      <c r="F6" s="253"/>
      <c r="G6" s="254"/>
      <c r="H6" s="255"/>
      <c r="I6" s="256" t="str">
        <f t="shared" si="1"/>
        <v/>
      </c>
      <c r="J6" s="256" t="str">
        <f t="shared" si="2"/>
        <v/>
      </c>
      <c r="K6" s="256" t="str">
        <f t="shared" si="3"/>
        <v/>
      </c>
      <c r="L6" s="250" t="str">
        <f t="shared" si="4"/>
        <v/>
      </c>
      <c r="M6" s="257"/>
      <c r="N6" s="250" t="str">
        <f t="shared" si="5"/>
        <v/>
      </c>
      <c r="O6" s="250" t="str">
        <f t="shared" si="6"/>
        <v/>
      </c>
      <c r="P6" s="252"/>
      <c r="Q6" s="250" t="b">
        <v>0</v>
      </c>
    </row>
    <row r="7" spans="1:17" ht="20" customHeight="1">
      <c r="A7" s="250" t="str">
        <f t="shared" si="0"/>
        <v/>
      </c>
      <c r="B7" s="251"/>
      <c r="C7" s="252"/>
      <c r="D7" s="252"/>
      <c r="E7" s="252"/>
      <c r="F7" s="253"/>
      <c r="G7" s="254"/>
      <c r="H7" s="255"/>
      <c r="I7" s="256" t="str">
        <f t="shared" si="1"/>
        <v/>
      </c>
      <c r="J7" s="256" t="str">
        <f t="shared" si="2"/>
        <v/>
      </c>
      <c r="K7" s="256" t="str">
        <f t="shared" si="3"/>
        <v/>
      </c>
      <c r="L7" s="250" t="str">
        <f t="shared" si="4"/>
        <v/>
      </c>
      <c r="M7" s="257"/>
      <c r="N7" s="250" t="str">
        <f t="shared" si="5"/>
        <v/>
      </c>
      <c r="O7" s="250" t="str">
        <f t="shared" si="6"/>
        <v/>
      </c>
      <c r="P7" s="252"/>
      <c r="Q7" s="250" t="b">
        <v>0</v>
      </c>
    </row>
    <row r="8" spans="1:17" ht="20" customHeight="1">
      <c r="A8" s="250" t="str">
        <f t="shared" si="0"/>
        <v/>
      </c>
      <c r="B8" s="251"/>
      <c r="C8" s="252"/>
      <c r="D8" s="252"/>
      <c r="E8" s="252"/>
      <c r="F8" s="253"/>
      <c r="G8" s="254"/>
      <c r="H8" s="255"/>
      <c r="I8" s="256" t="str">
        <f t="shared" si="1"/>
        <v/>
      </c>
      <c r="J8" s="256" t="str">
        <f t="shared" si="2"/>
        <v/>
      </c>
      <c r="K8" s="256" t="str">
        <f t="shared" si="3"/>
        <v/>
      </c>
      <c r="L8" s="250" t="str">
        <f t="shared" si="4"/>
        <v/>
      </c>
      <c r="M8" s="257"/>
      <c r="N8" s="250" t="str">
        <f t="shared" si="5"/>
        <v/>
      </c>
      <c r="O8" s="250" t="str">
        <f t="shared" si="6"/>
        <v/>
      </c>
      <c r="P8" s="252"/>
      <c r="Q8" s="250" t="b">
        <v>0</v>
      </c>
    </row>
    <row r="9" spans="1:17" ht="20" customHeight="1">
      <c r="A9" s="250" t="str">
        <f t="shared" si="0"/>
        <v/>
      </c>
      <c r="B9" s="251"/>
      <c r="C9" s="252"/>
      <c r="D9" s="252"/>
      <c r="E9" s="252"/>
      <c r="F9" s="253"/>
      <c r="G9" s="254"/>
      <c r="H9" s="255"/>
      <c r="I9" s="256" t="str">
        <f t="shared" si="1"/>
        <v/>
      </c>
      <c r="J9" s="256" t="str">
        <f t="shared" si="2"/>
        <v/>
      </c>
      <c r="K9" s="256" t="str">
        <f t="shared" si="3"/>
        <v/>
      </c>
      <c r="L9" s="250" t="str">
        <f t="shared" si="4"/>
        <v/>
      </c>
      <c r="M9" s="257"/>
      <c r="N9" s="250" t="str">
        <f t="shared" si="5"/>
        <v/>
      </c>
      <c r="O9" s="250" t="str">
        <f t="shared" si="6"/>
        <v/>
      </c>
      <c r="P9" s="252"/>
      <c r="Q9" s="250" t="b">
        <v>0</v>
      </c>
    </row>
    <row r="10" spans="1:17" ht="20" customHeight="1">
      <c r="A10" s="250" t="str">
        <f t="shared" si="0"/>
        <v/>
      </c>
      <c r="B10" s="251"/>
      <c r="C10" s="252"/>
      <c r="D10" s="252"/>
      <c r="E10" s="252"/>
      <c r="F10" s="253"/>
      <c r="G10" s="254"/>
      <c r="H10" s="255"/>
      <c r="I10" s="256" t="str">
        <f t="shared" si="1"/>
        <v/>
      </c>
      <c r="J10" s="256" t="str">
        <f t="shared" si="2"/>
        <v/>
      </c>
      <c r="K10" s="256" t="str">
        <f t="shared" si="3"/>
        <v/>
      </c>
      <c r="L10" s="250" t="str">
        <f t="shared" si="4"/>
        <v/>
      </c>
      <c r="M10" s="257"/>
      <c r="N10" s="250" t="str">
        <f t="shared" si="5"/>
        <v/>
      </c>
      <c r="O10" s="250" t="str">
        <f t="shared" si="6"/>
        <v/>
      </c>
      <c r="P10" s="252"/>
      <c r="Q10" s="250" t="b">
        <v>0</v>
      </c>
    </row>
    <row r="11" spans="1:17" ht="20" customHeight="1">
      <c r="A11" s="250" t="str">
        <f t="shared" si="0"/>
        <v/>
      </c>
      <c r="B11" s="251"/>
      <c r="C11" s="252"/>
      <c r="D11" s="252"/>
      <c r="E11" s="252"/>
      <c r="F11" s="253"/>
      <c r="G11" s="254"/>
      <c r="H11" s="255"/>
      <c r="I11" s="256" t="str">
        <f t="shared" si="1"/>
        <v/>
      </c>
      <c r="J11" s="256" t="str">
        <f t="shared" si="2"/>
        <v/>
      </c>
      <c r="K11" s="256" t="str">
        <f t="shared" si="3"/>
        <v/>
      </c>
      <c r="L11" s="250" t="str">
        <f t="shared" si="4"/>
        <v/>
      </c>
      <c r="M11" s="257"/>
      <c r="N11" s="250" t="str">
        <f t="shared" si="5"/>
        <v/>
      </c>
      <c r="O11" s="250" t="str">
        <f t="shared" si="6"/>
        <v/>
      </c>
      <c r="P11" s="252"/>
      <c r="Q11" s="250" t="b">
        <v>0</v>
      </c>
    </row>
    <row r="12" spans="1:17" ht="20" customHeight="1">
      <c r="A12" s="250" t="str">
        <f t="shared" si="0"/>
        <v/>
      </c>
      <c r="B12" s="251"/>
      <c r="C12" s="252"/>
      <c r="D12" s="252"/>
      <c r="E12" s="252"/>
      <c r="F12" s="253"/>
      <c r="G12" s="254"/>
      <c r="H12" s="255"/>
      <c r="I12" s="256" t="str">
        <f t="shared" si="1"/>
        <v/>
      </c>
      <c r="J12" s="256" t="str">
        <f t="shared" si="2"/>
        <v/>
      </c>
      <c r="K12" s="256" t="str">
        <f t="shared" si="3"/>
        <v/>
      </c>
      <c r="L12" s="250" t="str">
        <f t="shared" si="4"/>
        <v/>
      </c>
      <c r="M12" s="257"/>
      <c r="N12" s="250" t="str">
        <f t="shared" si="5"/>
        <v/>
      </c>
      <c r="O12" s="250" t="str">
        <f t="shared" si="6"/>
        <v/>
      </c>
      <c r="P12" s="252"/>
      <c r="Q12" s="250" t="b">
        <v>0</v>
      </c>
    </row>
    <row r="13" spans="1:17" ht="20" customHeight="1">
      <c r="A13" s="250" t="str">
        <f t="shared" si="0"/>
        <v/>
      </c>
      <c r="B13" s="251"/>
      <c r="C13" s="252"/>
      <c r="D13" s="252"/>
      <c r="E13" s="252"/>
      <c r="F13" s="253"/>
      <c r="G13" s="254"/>
      <c r="H13" s="255"/>
      <c r="I13" s="256" t="str">
        <f t="shared" si="1"/>
        <v/>
      </c>
      <c r="J13" s="256" t="str">
        <f t="shared" si="2"/>
        <v/>
      </c>
      <c r="K13" s="256" t="str">
        <f t="shared" si="3"/>
        <v/>
      </c>
      <c r="L13" s="250" t="str">
        <f t="shared" si="4"/>
        <v/>
      </c>
      <c r="M13" s="257"/>
      <c r="N13" s="250" t="str">
        <f t="shared" si="5"/>
        <v/>
      </c>
      <c r="O13" s="250" t="str">
        <f t="shared" si="6"/>
        <v/>
      </c>
      <c r="P13" s="252"/>
      <c r="Q13" s="250" t="b">
        <v>0</v>
      </c>
    </row>
    <row r="14" spans="1:17" ht="20" customHeight="1">
      <c r="A14" s="250" t="str">
        <f t="shared" si="0"/>
        <v/>
      </c>
      <c r="B14" s="251"/>
      <c r="C14" s="252"/>
      <c r="D14" s="252"/>
      <c r="E14" s="252"/>
      <c r="F14" s="253"/>
      <c r="G14" s="254"/>
      <c r="H14" s="255"/>
      <c r="I14" s="256" t="str">
        <f t="shared" si="1"/>
        <v/>
      </c>
      <c r="J14" s="256" t="str">
        <f t="shared" si="2"/>
        <v/>
      </c>
      <c r="K14" s="256" t="str">
        <f t="shared" si="3"/>
        <v/>
      </c>
      <c r="L14" s="250" t="str">
        <f t="shared" si="4"/>
        <v/>
      </c>
      <c r="M14" s="257"/>
      <c r="N14" s="250" t="str">
        <f t="shared" si="5"/>
        <v/>
      </c>
      <c r="O14" s="250" t="str">
        <f t="shared" si="6"/>
        <v/>
      </c>
      <c r="P14" s="252"/>
      <c r="Q14" s="250" t="b">
        <v>0</v>
      </c>
    </row>
    <row r="15" spans="1:17" ht="20" customHeight="1">
      <c r="A15" s="250" t="str">
        <f t="shared" si="0"/>
        <v/>
      </c>
      <c r="B15" s="251"/>
      <c r="C15" s="252"/>
      <c r="D15" s="252"/>
      <c r="E15" s="252"/>
      <c r="F15" s="253"/>
      <c r="G15" s="254"/>
      <c r="H15" s="255"/>
      <c r="I15" s="256" t="str">
        <f t="shared" si="1"/>
        <v/>
      </c>
      <c r="J15" s="256" t="str">
        <f t="shared" si="2"/>
        <v/>
      </c>
      <c r="K15" s="256" t="str">
        <f t="shared" si="3"/>
        <v/>
      </c>
      <c r="L15" s="250" t="str">
        <f t="shared" si="4"/>
        <v/>
      </c>
      <c r="M15" s="257"/>
      <c r="N15" s="250" t="str">
        <f t="shared" si="5"/>
        <v/>
      </c>
      <c r="O15" s="250" t="str">
        <f t="shared" si="6"/>
        <v/>
      </c>
      <c r="P15" s="252"/>
      <c r="Q15" s="250" t="b">
        <v>0</v>
      </c>
    </row>
    <row r="16" spans="1:17" ht="20" customHeight="1">
      <c r="A16" s="250" t="str">
        <f t="shared" si="0"/>
        <v/>
      </c>
      <c r="B16" s="251"/>
      <c r="C16" s="252"/>
      <c r="D16" s="252"/>
      <c r="E16" s="252"/>
      <c r="F16" s="253"/>
      <c r="G16" s="254"/>
      <c r="H16" s="255"/>
      <c r="I16" s="256" t="str">
        <f t="shared" si="1"/>
        <v/>
      </c>
      <c r="J16" s="256" t="str">
        <f t="shared" si="2"/>
        <v/>
      </c>
      <c r="K16" s="256" t="str">
        <f t="shared" si="3"/>
        <v/>
      </c>
      <c r="L16" s="250" t="str">
        <f t="shared" si="4"/>
        <v/>
      </c>
      <c r="M16" s="257"/>
      <c r="N16" s="250" t="str">
        <f t="shared" si="5"/>
        <v/>
      </c>
      <c r="O16" s="250" t="str">
        <f t="shared" si="6"/>
        <v/>
      </c>
      <c r="P16" s="252"/>
      <c r="Q16" s="250" t="b">
        <v>0</v>
      </c>
    </row>
    <row r="17" spans="1:17" ht="20" customHeight="1">
      <c r="A17" s="250" t="str">
        <f t="shared" si="0"/>
        <v/>
      </c>
      <c r="B17" s="251"/>
      <c r="C17" s="252"/>
      <c r="D17" s="252"/>
      <c r="E17" s="252"/>
      <c r="F17" s="253"/>
      <c r="G17" s="254"/>
      <c r="H17" s="255"/>
      <c r="I17" s="256" t="str">
        <f t="shared" si="1"/>
        <v/>
      </c>
      <c r="J17" s="256" t="str">
        <f t="shared" si="2"/>
        <v/>
      </c>
      <c r="K17" s="256" t="str">
        <f t="shared" si="3"/>
        <v/>
      </c>
      <c r="L17" s="250" t="str">
        <f t="shared" si="4"/>
        <v/>
      </c>
      <c r="M17" s="257"/>
      <c r="N17" s="250" t="str">
        <f t="shared" si="5"/>
        <v/>
      </c>
      <c r="O17" s="250" t="str">
        <f t="shared" si="6"/>
        <v/>
      </c>
      <c r="P17" s="252"/>
      <c r="Q17" s="250" t="b">
        <v>0</v>
      </c>
    </row>
    <row r="18" spans="1:17" ht="20" customHeight="1">
      <c r="A18" s="250" t="str">
        <f t="shared" si="0"/>
        <v/>
      </c>
      <c r="B18" s="251"/>
      <c r="C18" s="252"/>
      <c r="D18" s="252"/>
      <c r="E18" s="252"/>
      <c r="F18" s="253"/>
      <c r="G18" s="254"/>
      <c r="H18" s="255"/>
      <c r="I18" s="256" t="str">
        <f t="shared" si="1"/>
        <v/>
      </c>
      <c r="J18" s="256" t="str">
        <f t="shared" si="2"/>
        <v/>
      </c>
      <c r="K18" s="256" t="str">
        <f t="shared" si="3"/>
        <v/>
      </c>
      <c r="L18" s="250" t="str">
        <f t="shared" si="4"/>
        <v/>
      </c>
      <c r="M18" s="257"/>
      <c r="N18" s="250" t="str">
        <f t="shared" si="5"/>
        <v/>
      </c>
      <c r="O18" s="250" t="str">
        <f t="shared" si="6"/>
        <v/>
      </c>
      <c r="P18" s="252"/>
      <c r="Q18" s="250" t="b">
        <v>0</v>
      </c>
    </row>
    <row r="19" spans="1:17" ht="20" customHeight="1">
      <c r="A19" s="250" t="str">
        <f t="shared" si="0"/>
        <v/>
      </c>
      <c r="B19" s="251"/>
      <c r="C19" s="252"/>
      <c r="D19" s="252"/>
      <c r="E19" s="252"/>
      <c r="F19" s="253"/>
      <c r="G19" s="254"/>
      <c r="H19" s="255"/>
      <c r="I19" s="256" t="str">
        <f t="shared" si="1"/>
        <v/>
      </c>
      <c r="J19" s="256" t="str">
        <f t="shared" si="2"/>
        <v/>
      </c>
      <c r="K19" s="256" t="str">
        <f t="shared" si="3"/>
        <v/>
      </c>
      <c r="L19" s="250" t="str">
        <f t="shared" si="4"/>
        <v/>
      </c>
      <c r="M19" s="257"/>
      <c r="N19" s="250" t="str">
        <f t="shared" si="5"/>
        <v/>
      </c>
      <c r="O19" s="250" t="str">
        <f t="shared" si="6"/>
        <v/>
      </c>
      <c r="P19" s="252"/>
      <c r="Q19" s="250" t="b">
        <v>0</v>
      </c>
    </row>
    <row r="20" spans="1:17" ht="20" customHeight="1">
      <c r="A20" s="250" t="str">
        <f t="shared" si="0"/>
        <v/>
      </c>
      <c r="B20" s="251"/>
      <c r="C20" s="252"/>
      <c r="D20" s="252"/>
      <c r="E20" s="252"/>
      <c r="F20" s="253"/>
      <c r="G20" s="254"/>
      <c r="H20" s="255"/>
      <c r="I20" s="256" t="str">
        <f t="shared" si="1"/>
        <v/>
      </c>
      <c r="J20" s="256" t="str">
        <f t="shared" si="2"/>
        <v/>
      </c>
      <c r="K20" s="256" t="str">
        <f t="shared" si="3"/>
        <v/>
      </c>
      <c r="L20" s="250" t="str">
        <f t="shared" si="4"/>
        <v/>
      </c>
      <c r="M20" s="257"/>
      <c r="N20" s="250" t="str">
        <f t="shared" si="5"/>
        <v/>
      </c>
      <c r="O20" s="250" t="str">
        <f t="shared" si="6"/>
        <v/>
      </c>
      <c r="P20" s="252"/>
      <c r="Q20" s="250" t="b">
        <v>0</v>
      </c>
    </row>
    <row r="21" spans="1:17" ht="20" customHeight="1">
      <c r="A21" s="250" t="str">
        <f t="shared" si="0"/>
        <v/>
      </c>
      <c r="B21" s="251"/>
      <c r="C21" s="252"/>
      <c r="D21" s="252"/>
      <c r="E21" s="252"/>
      <c r="F21" s="253"/>
      <c r="G21" s="254"/>
      <c r="H21" s="255"/>
      <c r="I21" s="256" t="str">
        <f t="shared" si="1"/>
        <v/>
      </c>
      <c r="J21" s="256" t="str">
        <f t="shared" si="2"/>
        <v/>
      </c>
      <c r="K21" s="256" t="str">
        <f t="shared" si="3"/>
        <v/>
      </c>
      <c r="L21" s="250" t="str">
        <f t="shared" si="4"/>
        <v/>
      </c>
      <c r="M21" s="257"/>
      <c r="N21" s="250" t="str">
        <f t="shared" si="5"/>
        <v/>
      </c>
      <c r="O21" s="250" t="str">
        <f t="shared" si="6"/>
        <v/>
      </c>
      <c r="P21" s="252"/>
      <c r="Q21" s="250" t="b">
        <v>0</v>
      </c>
    </row>
    <row r="22" spans="1:17" ht="20" customHeight="1">
      <c r="A22" s="250" t="str">
        <f t="shared" si="0"/>
        <v/>
      </c>
      <c r="B22" s="251"/>
      <c r="C22" s="252"/>
      <c r="D22" s="252"/>
      <c r="E22" s="252"/>
      <c r="F22" s="253"/>
      <c r="G22" s="254"/>
      <c r="H22" s="255"/>
      <c r="I22" s="256" t="str">
        <f t="shared" si="1"/>
        <v/>
      </c>
      <c r="J22" s="256" t="str">
        <f t="shared" si="2"/>
        <v/>
      </c>
      <c r="K22" s="256" t="str">
        <f t="shared" si="3"/>
        <v/>
      </c>
      <c r="L22" s="250" t="str">
        <f t="shared" si="4"/>
        <v/>
      </c>
      <c r="M22" s="257"/>
      <c r="N22" s="250" t="str">
        <f t="shared" si="5"/>
        <v/>
      </c>
      <c r="O22" s="250" t="str">
        <f t="shared" si="6"/>
        <v/>
      </c>
      <c r="P22" s="252"/>
      <c r="Q22" s="250" t="b">
        <v>0</v>
      </c>
    </row>
    <row r="23" spans="1:17" ht="20" customHeight="1">
      <c r="A23" s="250" t="str">
        <f t="shared" si="0"/>
        <v/>
      </c>
      <c r="B23" s="251"/>
      <c r="C23" s="252"/>
      <c r="D23" s="252"/>
      <c r="E23" s="252"/>
      <c r="F23" s="253"/>
      <c r="G23" s="254"/>
      <c r="H23" s="255"/>
      <c r="I23" s="256" t="str">
        <f t="shared" si="1"/>
        <v/>
      </c>
      <c r="J23" s="256" t="str">
        <f t="shared" si="2"/>
        <v/>
      </c>
      <c r="K23" s="256" t="str">
        <f t="shared" si="3"/>
        <v/>
      </c>
      <c r="L23" s="250" t="str">
        <f t="shared" si="4"/>
        <v/>
      </c>
      <c r="M23" s="257"/>
      <c r="N23" s="250" t="str">
        <f t="shared" si="5"/>
        <v/>
      </c>
      <c r="O23" s="250" t="str">
        <f t="shared" si="6"/>
        <v/>
      </c>
      <c r="P23" s="252"/>
      <c r="Q23" s="250" t="b">
        <v>0</v>
      </c>
    </row>
    <row r="24" spans="1:17" ht="20" customHeight="1">
      <c r="A24" s="250" t="str">
        <f t="shared" si="0"/>
        <v/>
      </c>
      <c r="B24" s="251"/>
      <c r="C24" s="252"/>
      <c r="D24" s="252"/>
      <c r="E24" s="252"/>
      <c r="F24" s="253"/>
      <c r="G24" s="254"/>
      <c r="H24" s="255"/>
      <c r="I24" s="256" t="str">
        <f t="shared" si="1"/>
        <v/>
      </c>
      <c r="J24" s="256" t="str">
        <f t="shared" si="2"/>
        <v/>
      </c>
      <c r="K24" s="256" t="str">
        <f t="shared" si="3"/>
        <v/>
      </c>
      <c r="L24" s="250" t="str">
        <f t="shared" si="4"/>
        <v/>
      </c>
      <c r="M24" s="257"/>
      <c r="N24" s="250" t="str">
        <f t="shared" si="5"/>
        <v/>
      </c>
      <c r="O24" s="250" t="str">
        <f t="shared" si="6"/>
        <v/>
      </c>
      <c r="P24" s="252"/>
      <c r="Q24" s="250" t="b">
        <v>0</v>
      </c>
    </row>
    <row r="25" spans="1:17" ht="20" customHeight="1">
      <c r="A25" s="250" t="str">
        <f t="shared" si="0"/>
        <v/>
      </c>
      <c r="B25" s="251"/>
      <c r="C25" s="252"/>
      <c r="D25" s="252"/>
      <c r="E25" s="252"/>
      <c r="F25" s="253"/>
      <c r="G25" s="254"/>
      <c r="H25" s="255"/>
      <c r="I25" s="256" t="str">
        <f t="shared" si="1"/>
        <v/>
      </c>
      <c r="J25" s="256" t="str">
        <f t="shared" si="2"/>
        <v/>
      </c>
      <c r="K25" s="256" t="str">
        <f t="shared" si="3"/>
        <v/>
      </c>
      <c r="L25" s="250" t="str">
        <f t="shared" si="4"/>
        <v/>
      </c>
      <c r="M25" s="257"/>
      <c r="N25" s="250" t="str">
        <f t="shared" si="5"/>
        <v/>
      </c>
      <c r="O25" s="250" t="str">
        <f t="shared" si="6"/>
        <v/>
      </c>
      <c r="P25" s="252"/>
      <c r="Q25" s="250" t="b">
        <v>0</v>
      </c>
    </row>
    <row r="26" spans="1:17" ht="20" customHeight="1">
      <c r="A26" s="250" t="str">
        <f t="shared" si="0"/>
        <v/>
      </c>
      <c r="B26" s="251"/>
      <c r="C26" s="252"/>
      <c r="D26" s="252"/>
      <c r="E26" s="252"/>
      <c r="F26" s="253"/>
      <c r="G26" s="254"/>
      <c r="H26" s="255"/>
      <c r="I26" s="256" t="str">
        <f t="shared" si="1"/>
        <v/>
      </c>
      <c r="J26" s="256" t="str">
        <f t="shared" si="2"/>
        <v/>
      </c>
      <c r="K26" s="256" t="str">
        <f t="shared" si="3"/>
        <v/>
      </c>
      <c r="L26" s="250" t="str">
        <f t="shared" si="4"/>
        <v/>
      </c>
      <c r="M26" s="257"/>
      <c r="N26" s="250" t="str">
        <f t="shared" si="5"/>
        <v/>
      </c>
      <c r="O26" s="250" t="str">
        <f t="shared" si="6"/>
        <v/>
      </c>
      <c r="P26" s="252"/>
      <c r="Q26" s="250" t="b">
        <v>0</v>
      </c>
    </row>
    <row r="27" spans="1:17" ht="20" customHeight="1">
      <c r="A27" s="250" t="str">
        <f t="shared" si="0"/>
        <v/>
      </c>
      <c r="B27" s="251"/>
      <c r="C27" s="252"/>
      <c r="D27" s="252"/>
      <c r="E27" s="252"/>
      <c r="F27" s="253"/>
      <c r="G27" s="254"/>
      <c r="H27" s="255"/>
      <c r="I27" s="256" t="str">
        <f t="shared" si="1"/>
        <v/>
      </c>
      <c r="J27" s="256" t="str">
        <f t="shared" si="2"/>
        <v/>
      </c>
      <c r="K27" s="256" t="str">
        <f t="shared" si="3"/>
        <v/>
      </c>
      <c r="L27" s="250" t="str">
        <f t="shared" si="4"/>
        <v/>
      </c>
      <c r="M27" s="257"/>
      <c r="N27" s="250" t="str">
        <f t="shared" si="5"/>
        <v/>
      </c>
      <c r="O27" s="250" t="str">
        <f t="shared" si="6"/>
        <v/>
      </c>
      <c r="P27" s="252"/>
      <c r="Q27" s="250" t="b">
        <v>0</v>
      </c>
    </row>
    <row r="28" spans="1:17" ht="20" customHeight="1">
      <c r="A28" s="250" t="str">
        <f t="shared" si="0"/>
        <v/>
      </c>
      <c r="B28" s="251"/>
      <c r="C28" s="252"/>
      <c r="D28" s="252"/>
      <c r="E28" s="252"/>
      <c r="F28" s="253"/>
      <c r="G28" s="254"/>
      <c r="H28" s="255"/>
      <c r="I28" s="256" t="str">
        <f t="shared" si="1"/>
        <v/>
      </c>
      <c r="J28" s="256" t="str">
        <f t="shared" si="2"/>
        <v/>
      </c>
      <c r="K28" s="256" t="str">
        <f t="shared" si="3"/>
        <v/>
      </c>
      <c r="L28" s="250" t="str">
        <f t="shared" si="4"/>
        <v/>
      </c>
      <c r="M28" s="257"/>
      <c r="N28" s="250" t="str">
        <f t="shared" si="5"/>
        <v/>
      </c>
      <c r="O28" s="250" t="str">
        <f t="shared" si="6"/>
        <v/>
      </c>
      <c r="P28" s="252"/>
      <c r="Q28" s="250" t="b">
        <v>0</v>
      </c>
    </row>
    <row r="29" spans="1:17" ht="20" customHeight="1">
      <c r="A29" s="250" t="str">
        <f t="shared" si="0"/>
        <v/>
      </c>
      <c r="B29" s="251"/>
      <c r="C29" s="252"/>
      <c r="D29" s="252"/>
      <c r="E29" s="252"/>
      <c r="F29" s="253"/>
      <c r="G29" s="254"/>
      <c r="H29" s="255"/>
      <c r="I29" s="256" t="str">
        <f t="shared" si="1"/>
        <v/>
      </c>
      <c r="J29" s="256" t="str">
        <f t="shared" si="2"/>
        <v/>
      </c>
      <c r="K29" s="256" t="str">
        <f t="shared" si="3"/>
        <v/>
      </c>
      <c r="L29" s="250" t="str">
        <f t="shared" si="4"/>
        <v/>
      </c>
      <c r="M29" s="257"/>
      <c r="N29" s="250" t="str">
        <f t="shared" si="5"/>
        <v/>
      </c>
      <c r="O29" s="250" t="str">
        <f t="shared" si="6"/>
        <v/>
      </c>
      <c r="P29" s="252"/>
      <c r="Q29" s="250" t="b">
        <v>0</v>
      </c>
    </row>
    <row r="30" spans="1:17" ht="20" customHeight="1">
      <c r="A30" s="250" t="str">
        <f t="shared" si="0"/>
        <v/>
      </c>
      <c r="B30" s="251"/>
      <c r="C30" s="252"/>
      <c r="D30" s="252"/>
      <c r="E30" s="252"/>
      <c r="F30" s="253"/>
      <c r="G30" s="254"/>
      <c r="H30" s="255"/>
      <c r="I30" s="256" t="str">
        <f t="shared" si="1"/>
        <v/>
      </c>
      <c r="J30" s="256" t="str">
        <f t="shared" si="2"/>
        <v/>
      </c>
      <c r="K30" s="256" t="str">
        <f t="shared" si="3"/>
        <v/>
      </c>
      <c r="L30" s="250" t="str">
        <f t="shared" si="4"/>
        <v/>
      </c>
      <c r="M30" s="257"/>
      <c r="N30" s="250" t="str">
        <f t="shared" si="5"/>
        <v/>
      </c>
      <c r="O30" s="250" t="str">
        <f t="shared" si="6"/>
        <v/>
      </c>
      <c r="P30" s="252"/>
      <c r="Q30" s="250" t="b">
        <v>0</v>
      </c>
    </row>
    <row r="31" spans="1:17" ht="20" customHeight="1">
      <c r="A31" s="250" t="str">
        <f t="shared" si="0"/>
        <v/>
      </c>
      <c r="B31" s="251"/>
      <c r="C31" s="252"/>
      <c r="D31" s="252"/>
      <c r="E31" s="252"/>
      <c r="F31" s="253"/>
      <c r="G31" s="254"/>
      <c r="H31" s="255"/>
      <c r="I31" s="256" t="str">
        <f t="shared" si="1"/>
        <v/>
      </c>
      <c r="J31" s="256" t="str">
        <f t="shared" si="2"/>
        <v/>
      </c>
      <c r="K31" s="256" t="str">
        <f t="shared" si="3"/>
        <v/>
      </c>
      <c r="L31" s="250" t="str">
        <f t="shared" si="4"/>
        <v/>
      </c>
      <c r="M31" s="257"/>
      <c r="N31" s="250" t="str">
        <f t="shared" si="5"/>
        <v/>
      </c>
      <c r="O31" s="250" t="str">
        <f t="shared" si="6"/>
        <v/>
      </c>
      <c r="P31" s="252"/>
      <c r="Q31" s="250" t="b">
        <v>0</v>
      </c>
    </row>
    <row r="32" spans="1:17" ht="20" customHeight="1">
      <c r="A32" s="250" t="str">
        <f t="shared" si="0"/>
        <v/>
      </c>
      <c r="B32" s="251"/>
      <c r="C32" s="252"/>
      <c r="D32" s="252"/>
      <c r="E32" s="252"/>
      <c r="F32" s="253"/>
      <c r="G32" s="254"/>
      <c r="H32" s="255"/>
      <c r="I32" s="256" t="str">
        <f t="shared" si="1"/>
        <v/>
      </c>
      <c r="J32" s="256" t="str">
        <f t="shared" si="2"/>
        <v/>
      </c>
      <c r="K32" s="256" t="str">
        <f t="shared" si="3"/>
        <v/>
      </c>
      <c r="L32" s="250" t="str">
        <f t="shared" si="4"/>
        <v/>
      </c>
      <c r="M32" s="257"/>
      <c r="N32" s="250" t="str">
        <f t="shared" si="5"/>
        <v/>
      </c>
      <c r="O32" s="250" t="str">
        <f t="shared" si="6"/>
        <v/>
      </c>
      <c r="P32" s="252"/>
      <c r="Q32" s="250" t="b">
        <v>0</v>
      </c>
    </row>
    <row r="33" spans="1:17" ht="20" customHeight="1">
      <c r="A33" s="250" t="str">
        <f t="shared" si="0"/>
        <v/>
      </c>
      <c r="B33" s="251"/>
      <c r="C33" s="252"/>
      <c r="D33" s="252"/>
      <c r="E33" s="252"/>
      <c r="F33" s="253"/>
      <c r="G33" s="254"/>
      <c r="H33" s="255"/>
      <c r="I33" s="256" t="str">
        <f t="shared" si="1"/>
        <v/>
      </c>
      <c r="J33" s="256" t="str">
        <f t="shared" si="2"/>
        <v/>
      </c>
      <c r="K33" s="256" t="str">
        <f t="shared" si="3"/>
        <v/>
      </c>
      <c r="L33" s="250" t="str">
        <f t="shared" si="4"/>
        <v/>
      </c>
      <c r="M33" s="257"/>
      <c r="N33" s="250" t="str">
        <f t="shared" si="5"/>
        <v/>
      </c>
      <c r="O33" s="250" t="str">
        <f t="shared" si="6"/>
        <v/>
      </c>
      <c r="P33" s="252"/>
      <c r="Q33" s="250" t="b">
        <v>0</v>
      </c>
    </row>
    <row r="34" spans="1:17" ht="20" customHeight="1">
      <c r="A34" s="250" t="str">
        <f t="shared" si="0"/>
        <v/>
      </c>
      <c r="B34" s="251"/>
      <c r="C34" s="252"/>
      <c r="D34" s="252"/>
      <c r="E34" s="252"/>
      <c r="F34" s="253"/>
      <c r="G34" s="254"/>
      <c r="H34" s="255"/>
      <c r="I34" s="256" t="str">
        <f t="shared" si="1"/>
        <v/>
      </c>
      <c r="J34" s="256" t="str">
        <f t="shared" si="2"/>
        <v/>
      </c>
      <c r="K34" s="256" t="str">
        <f t="shared" si="3"/>
        <v/>
      </c>
      <c r="L34" s="250" t="str">
        <f t="shared" si="4"/>
        <v/>
      </c>
      <c r="M34" s="257"/>
      <c r="N34" s="250" t="str">
        <f t="shared" si="5"/>
        <v/>
      </c>
      <c r="O34" s="250" t="str">
        <f t="shared" si="6"/>
        <v/>
      </c>
      <c r="P34" s="252"/>
      <c r="Q34" s="250" t="b">
        <v>0</v>
      </c>
    </row>
    <row r="35" spans="1:17" ht="20" customHeight="1">
      <c r="A35" s="250" t="str">
        <f t="shared" si="0"/>
        <v/>
      </c>
      <c r="B35" s="251"/>
      <c r="C35" s="252"/>
      <c r="D35" s="252"/>
      <c r="E35" s="252"/>
      <c r="F35" s="253"/>
      <c r="G35" s="254"/>
      <c r="H35" s="255"/>
      <c r="I35" s="256" t="str">
        <f t="shared" si="1"/>
        <v/>
      </c>
      <c r="J35" s="256" t="str">
        <f t="shared" si="2"/>
        <v/>
      </c>
      <c r="K35" s="256" t="str">
        <f t="shared" si="3"/>
        <v/>
      </c>
      <c r="L35" s="250" t="str">
        <f t="shared" si="4"/>
        <v/>
      </c>
      <c r="M35" s="257"/>
      <c r="N35" s="250" t="str">
        <f t="shared" si="5"/>
        <v/>
      </c>
      <c r="O35" s="250" t="str">
        <f t="shared" si="6"/>
        <v/>
      </c>
      <c r="P35" s="252"/>
      <c r="Q35" s="250" t="b">
        <v>0</v>
      </c>
    </row>
    <row r="36" spans="1:17" ht="20" customHeight="1">
      <c r="A36" s="250" t="str">
        <f t="shared" si="0"/>
        <v/>
      </c>
      <c r="B36" s="251"/>
      <c r="C36" s="252"/>
      <c r="D36" s="252"/>
      <c r="E36" s="252"/>
      <c r="F36" s="253"/>
      <c r="G36" s="254"/>
      <c r="H36" s="255"/>
      <c r="I36" s="256" t="str">
        <f t="shared" si="1"/>
        <v/>
      </c>
      <c r="J36" s="256" t="str">
        <f t="shared" si="2"/>
        <v/>
      </c>
      <c r="K36" s="256" t="str">
        <f t="shared" si="3"/>
        <v/>
      </c>
      <c r="L36" s="250" t="str">
        <f t="shared" si="4"/>
        <v/>
      </c>
      <c r="M36" s="257"/>
      <c r="N36" s="250" t="str">
        <f t="shared" si="5"/>
        <v/>
      </c>
      <c r="O36" s="250" t="str">
        <f t="shared" si="6"/>
        <v/>
      </c>
      <c r="P36" s="252"/>
      <c r="Q36" s="250" t="b">
        <v>0</v>
      </c>
    </row>
    <row r="37" spans="1:17" ht="20" customHeight="1">
      <c r="A37" s="250" t="str">
        <f t="shared" si="0"/>
        <v/>
      </c>
      <c r="B37" s="251"/>
      <c r="C37" s="252"/>
      <c r="D37" s="252"/>
      <c r="E37" s="252"/>
      <c r="F37" s="253"/>
      <c r="G37" s="254"/>
      <c r="H37" s="255"/>
      <c r="I37" s="256" t="str">
        <f t="shared" si="1"/>
        <v/>
      </c>
      <c r="J37" s="256" t="str">
        <f t="shared" si="2"/>
        <v/>
      </c>
      <c r="K37" s="256" t="str">
        <f t="shared" si="3"/>
        <v/>
      </c>
      <c r="L37" s="250" t="str">
        <f t="shared" si="4"/>
        <v/>
      </c>
      <c r="M37" s="257"/>
      <c r="N37" s="250" t="str">
        <f t="shared" si="5"/>
        <v/>
      </c>
      <c r="O37" s="250" t="str">
        <f t="shared" si="6"/>
        <v/>
      </c>
      <c r="P37" s="252"/>
      <c r="Q37" s="250" t="b">
        <v>0</v>
      </c>
    </row>
    <row r="38" spans="1:17" ht="20" customHeight="1">
      <c r="A38" s="250" t="str">
        <f t="shared" si="0"/>
        <v/>
      </c>
      <c r="B38" s="251"/>
      <c r="C38" s="252"/>
      <c r="D38" s="252"/>
      <c r="E38" s="252"/>
      <c r="F38" s="253"/>
      <c r="G38" s="254"/>
      <c r="H38" s="255"/>
      <c r="I38" s="256" t="str">
        <f t="shared" si="1"/>
        <v/>
      </c>
      <c r="J38" s="256" t="str">
        <f t="shared" si="2"/>
        <v/>
      </c>
      <c r="K38" s="256" t="str">
        <f t="shared" si="3"/>
        <v/>
      </c>
      <c r="L38" s="250" t="str">
        <f t="shared" si="4"/>
        <v/>
      </c>
      <c r="M38" s="257"/>
      <c r="N38" s="250" t="str">
        <f t="shared" si="5"/>
        <v/>
      </c>
      <c r="O38" s="250" t="str">
        <f t="shared" si="6"/>
        <v/>
      </c>
      <c r="P38" s="252"/>
      <c r="Q38" s="250" t="b">
        <v>0</v>
      </c>
    </row>
    <row r="39" spans="1:17" ht="20" customHeight="1">
      <c r="A39" s="250" t="str">
        <f t="shared" si="0"/>
        <v/>
      </c>
      <c r="B39" s="251"/>
      <c r="C39" s="252"/>
      <c r="D39" s="252"/>
      <c r="E39" s="252"/>
      <c r="F39" s="253"/>
      <c r="G39" s="254"/>
      <c r="H39" s="255"/>
      <c r="I39" s="256" t="str">
        <f t="shared" si="1"/>
        <v/>
      </c>
      <c r="J39" s="256" t="str">
        <f t="shared" si="2"/>
        <v/>
      </c>
      <c r="K39" s="256" t="str">
        <f t="shared" si="3"/>
        <v/>
      </c>
      <c r="L39" s="250" t="str">
        <f t="shared" si="4"/>
        <v/>
      </c>
      <c r="M39" s="257"/>
      <c r="N39" s="250" t="str">
        <f t="shared" si="5"/>
        <v/>
      </c>
      <c r="O39" s="250" t="str">
        <f t="shared" si="6"/>
        <v/>
      </c>
      <c r="P39" s="252"/>
      <c r="Q39" s="250" t="b">
        <v>0</v>
      </c>
    </row>
    <row r="40" spans="1:17" ht="20" customHeight="1">
      <c r="A40" s="250" t="str">
        <f t="shared" si="0"/>
        <v/>
      </c>
      <c r="B40" s="251"/>
      <c r="C40" s="252"/>
      <c r="D40" s="252"/>
      <c r="E40" s="252"/>
      <c r="F40" s="253"/>
      <c r="G40" s="254"/>
      <c r="H40" s="255"/>
      <c r="I40" s="256" t="str">
        <f t="shared" si="1"/>
        <v/>
      </c>
      <c r="J40" s="256" t="str">
        <f t="shared" si="2"/>
        <v/>
      </c>
      <c r="K40" s="256" t="str">
        <f t="shared" si="3"/>
        <v/>
      </c>
      <c r="L40" s="250" t="str">
        <f t="shared" si="4"/>
        <v/>
      </c>
      <c r="M40" s="257"/>
      <c r="N40" s="250" t="str">
        <f t="shared" si="5"/>
        <v/>
      </c>
      <c r="O40" s="250" t="str">
        <f t="shared" si="6"/>
        <v/>
      </c>
      <c r="P40" s="252"/>
      <c r="Q40" s="250" t="b">
        <v>0</v>
      </c>
    </row>
    <row r="41" spans="1:17" ht="20" customHeight="1">
      <c r="A41" s="250" t="str">
        <f t="shared" si="0"/>
        <v/>
      </c>
      <c r="B41" s="251"/>
      <c r="C41" s="252"/>
      <c r="D41" s="252"/>
      <c r="E41" s="252"/>
      <c r="F41" s="253"/>
      <c r="G41" s="254"/>
      <c r="H41" s="255"/>
      <c r="I41" s="256" t="str">
        <f t="shared" si="1"/>
        <v/>
      </c>
      <c r="J41" s="256" t="str">
        <f t="shared" si="2"/>
        <v/>
      </c>
      <c r="K41" s="256" t="str">
        <f t="shared" si="3"/>
        <v/>
      </c>
      <c r="L41" s="250" t="str">
        <f t="shared" si="4"/>
        <v/>
      </c>
      <c r="M41" s="257"/>
      <c r="N41" s="250" t="str">
        <f t="shared" si="5"/>
        <v/>
      </c>
      <c r="O41" s="250" t="str">
        <f t="shared" si="6"/>
        <v/>
      </c>
      <c r="P41" s="252"/>
      <c r="Q41" s="250" t="b">
        <v>0</v>
      </c>
    </row>
    <row r="42" spans="1:17" ht="20" customHeight="1">
      <c r="A42" s="250" t="str">
        <f t="shared" si="0"/>
        <v/>
      </c>
      <c r="B42" s="251"/>
      <c r="C42" s="252"/>
      <c r="D42" s="252"/>
      <c r="E42" s="252"/>
      <c r="F42" s="253"/>
      <c r="G42" s="254"/>
      <c r="H42" s="255"/>
      <c r="I42" s="256" t="str">
        <f t="shared" si="1"/>
        <v/>
      </c>
      <c r="J42" s="256" t="str">
        <f t="shared" si="2"/>
        <v/>
      </c>
      <c r="K42" s="256" t="str">
        <f t="shared" si="3"/>
        <v/>
      </c>
      <c r="L42" s="250" t="str">
        <f t="shared" si="4"/>
        <v/>
      </c>
      <c r="M42" s="257"/>
      <c r="N42" s="250" t="str">
        <f t="shared" si="5"/>
        <v/>
      </c>
      <c r="O42" s="250" t="str">
        <f t="shared" si="6"/>
        <v/>
      </c>
      <c r="P42" s="252"/>
      <c r="Q42" s="250" t="b">
        <v>0</v>
      </c>
    </row>
    <row r="43" spans="1:17" ht="20" customHeight="1">
      <c r="A43" s="250" t="str">
        <f t="shared" si="0"/>
        <v/>
      </c>
      <c r="B43" s="251"/>
      <c r="C43" s="252"/>
      <c r="D43" s="252"/>
      <c r="E43" s="252"/>
      <c r="F43" s="253"/>
      <c r="G43" s="254"/>
      <c r="H43" s="255"/>
      <c r="I43" s="256" t="str">
        <f t="shared" si="1"/>
        <v/>
      </c>
      <c r="J43" s="256" t="str">
        <f t="shared" si="2"/>
        <v/>
      </c>
      <c r="K43" s="256" t="str">
        <f t="shared" si="3"/>
        <v/>
      </c>
      <c r="L43" s="250" t="str">
        <f t="shared" si="4"/>
        <v/>
      </c>
      <c r="M43" s="257"/>
      <c r="N43" s="250" t="str">
        <f t="shared" si="5"/>
        <v/>
      </c>
      <c r="O43" s="250" t="str">
        <f t="shared" si="6"/>
        <v/>
      </c>
      <c r="P43" s="252"/>
      <c r="Q43" s="250" t="b">
        <v>0</v>
      </c>
    </row>
    <row r="44" spans="1:17" ht="20" customHeight="1">
      <c r="A44" s="250" t="str">
        <f t="shared" si="0"/>
        <v/>
      </c>
      <c r="B44" s="251"/>
      <c r="C44" s="252"/>
      <c r="D44" s="252"/>
      <c r="E44" s="252"/>
      <c r="F44" s="253"/>
      <c r="G44" s="254"/>
      <c r="H44" s="255"/>
      <c r="I44" s="256" t="str">
        <f t="shared" si="1"/>
        <v/>
      </c>
      <c r="J44" s="256" t="str">
        <f t="shared" si="2"/>
        <v/>
      </c>
      <c r="K44" s="256" t="str">
        <f t="shared" si="3"/>
        <v/>
      </c>
      <c r="L44" s="250" t="str">
        <f t="shared" si="4"/>
        <v/>
      </c>
      <c r="M44" s="257"/>
      <c r="N44" s="250" t="str">
        <f t="shared" si="5"/>
        <v/>
      </c>
      <c r="O44" s="250" t="str">
        <f t="shared" si="6"/>
        <v/>
      </c>
      <c r="P44" s="252"/>
      <c r="Q44" s="250" t="b">
        <v>0</v>
      </c>
    </row>
    <row r="45" spans="1:17" ht="20" customHeight="1">
      <c r="A45" s="250" t="str">
        <f t="shared" si="0"/>
        <v/>
      </c>
      <c r="B45" s="251"/>
      <c r="C45" s="252"/>
      <c r="D45" s="252"/>
      <c r="E45" s="252"/>
      <c r="F45" s="253"/>
      <c r="G45" s="254"/>
      <c r="H45" s="255"/>
      <c r="I45" s="256" t="str">
        <f t="shared" si="1"/>
        <v/>
      </c>
      <c r="J45" s="256" t="str">
        <f t="shared" si="2"/>
        <v/>
      </c>
      <c r="K45" s="256" t="str">
        <f t="shared" si="3"/>
        <v/>
      </c>
      <c r="L45" s="250" t="str">
        <f t="shared" si="4"/>
        <v/>
      </c>
      <c r="M45" s="257"/>
      <c r="N45" s="250" t="str">
        <f t="shared" si="5"/>
        <v/>
      </c>
      <c r="O45" s="250" t="str">
        <f t="shared" si="6"/>
        <v/>
      </c>
      <c r="P45" s="252"/>
      <c r="Q45" s="250" t="b">
        <v>0</v>
      </c>
    </row>
    <row r="46" spans="1:17" ht="20" customHeight="1">
      <c r="A46" s="250" t="str">
        <f t="shared" si="0"/>
        <v/>
      </c>
      <c r="B46" s="251"/>
      <c r="C46" s="252"/>
      <c r="D46" s="252"/>
      <c r="E46" s="252"/>
      <c r="F46" s="253"/>
      <c r="G46" s="254"/>
      <c r="H46" s="255"/>
      <c r="I46" s="256" t="str">
        <f t="shared" si="1"/>
        <v/>
      </c>
      <c r="J46" s="256" t="str">
        <f t="shared" si="2"/>
        <v/>
      </c>
      <c r="K46" s="256" t="str">
        <f t="shared" si="3"/>
        <v/>
      </c>
      <c r="L46" s="250" t="str">
        <f t="shared" si="4"/>
        <v/>
      </c>
      <c r="M46" s="257"/>
      <c r="N46" s="250" t="str">
        <f t="shared" si="5"/>
        <v/>
      </c>
      <c r="O46" s="250" t="str">
        <f t="shared" si="6"/>
        <v/>
      </c>
      <c r="P46" s="252"/>
      <c r="Q46" s="250" t="b">
        <v>0</v>
      </c>
    </row>
    <row r="47" spans="1:17" ht="20" customHeight="1">
      <c r="A47" s="250" t="str">
        <f t="shared" si="0"/>
        <v/>
      </c>
      <c r="B47" s="251"/>
      <c r="C47" s="252"/>
      <c r="D47" s="252"/>
      <c r="E47" s="252"/>
      <c r="F47" s="253"/>
      <c r="G47" s="254"/>
      <c r="H47" s="255"/>
      <c r="I47" s="256" t="str">
        <f t="shared" si="1"/>
        <v/>
      </c>
      <c r="J47" s="256" t="str">
        <f t="shared" si="2"/>
        <v/>
      </c>
      <c r="K47" s="256" t="str">
        <f t="shared" si="3"/>
        <v/>
      </c>
      <c r="L47" s="250" t="str">
        <f t="shared" si="4"/>
        <v/>
      </c>
      <c r="M47" s="257"/>
      <c r="N47" s="250" t="str">
        <f t="shared" si="5"/>
        <v/>
      </c>
      <c r="O47" s="250" t="str">
        <f t="shared" si="6"/>
        <v/>
      </c>
      <c r="P47" s="252"/>
      <c r="Q47" s="250" t="b">
        <v>0</v>
      </c>
    </row>
    <row r="48" spans="1:17" ht="20" customHeight="1">
      <c r="A48" s="250" t="str">
        <f t="shared" si="0"/>
        <v/>
      </c>
      <c r="B48" s="251"/>
      <c r="C48" s="252"/>
      <c r="D48" s="252"/>
      <c r="E48" s="252"/>
      <c r="F48" s="253"/>
      <c r="G48" s="254"/>
      <c r="H48" s="255"/>
      <c r="I48" s="256" t="str">
        <f t="shared" si="1"/>
        <v/>
      </c>
      <c r="J48" s="256" t="str">
        <f t="shared" si="2"/>
        <v/>
      </c>
      <c r="K48" s="256" t="str">
        <f t="shared" si="3"/>
        <v/>
      </c>
      <c r="L48" s="250" t="str">
        <f t="shared" si="4"/>
        <v/>
      </c>
      <c r="M48" s="257"/>
      <c r="N48" s="250" t="str">
        <f t="shared" si="5"/>
        <v/>
      </c>
      <c r="O48" s="250" t="str">
        <f t="shared" si="6"/>
        <v/>
      </c>
      <c r="P48" s="252"/>
      <c r="Q48" s="250" t="b">
        <v>0</v>
      </c>
    </row>
    <row r="49" spans="1:17" ht="20" customHeight="1">
      <c r="A49" s="250" t="str">
        <f t="shared" si="0"/>
        <v/>
      </c>
      <c r="B49" s="251"/>
      <c r="C49" s="252"/>
      <c r="D49" s="252"/>
      <c r="E49" s="252"/>
      <c r="F49" s="253"/>
      <c r="G49" s="254"/>
      <c r="H49" s="255"/>
      <c r="I49" s="256" t="str">
        <f t="shared" si="1"/>
        <v/>
      </c>
      <c r="J49" s="256" t="str">
        <f t="shared" si="2"/>
        <v/>
      </c>
      <c r="K49" s="256" t="str">
        <f t="shared" si="3"/>
        <v/>
      </c>
      <c r="L49" s="250" t="str">
        <f t="shared" si="4"/>
        <v/>
      </c>
      <c r="M49" s="257"/>
      <c r="N49" s="250" t="str">
        <f t="shared" si="5"/>
        <v/>
      </c>
      <c r="O49" s="250" t="str">
        <f t="shared" si="6"/>
        <v/>
      </c>
      <c r="P49" s="252"/>
      <c r="Q49" s="250" t="b">
        <v>0</v>
      </c>
    </row>
    <row r="50" spans="1:17" ht="20" customHeight="1">
      <c r="A50" s="250" t="str">
        <f t="shared" si="0"/>
        <v/>
      </c>
      <c r="B50" s="251"/>
      <c r="C50" s="252"/>
      <c r="D50" s="252"/>
      <c r="E50" s="252"/>
      <c r="F50" s="253"/>
      <c r="G50" s="254"/>
      <c r="H50" s="255"/>
      <c r="I50" s="256" t="str">
        <f t="shared" si="1"/>
        <v/>
      </c>
      <c r="J50" s="256" t="str">
        <f t="shared" si="2"/>
        <v/>
      </c>
      <c r="K50" s="256" t="str">
        <f t="shared" si="3"/>
        <v/>
      </c>
      <c r="L50" s="250" t="str">
        <f t="shared" si="4"/>
        <v/>
      </c>
      <c r="M50" s="257"/>
      <c r="N50" s="250" t="str">
        <f t="shared" si="5"/>
        <v/>
      </c>
      <c r="O50" s="250" t="str">
        <f t="shared" si="6"/>
        <v/>
      </c>
      <c r="P50" s="252"/>
      <c r="Q50" s="250" t="b">
        <v>0</v>
      </c>
    </row>
    <row r="51" spans="1:17" ht="20" customHeight="1">
      <c r="A51" s="250" t="str">
        <f t="shared" si="0"/>
        <v/>
      </c>
      <c r="B51" s="251"/>
      <c r="C51" s="252"/>
      <c r="D51" s="252"/>
      <c r="E51" s="252"/>
      <c r="F51" s="253"/>
      <c r="G51" s="254"/>
      <c r="H51" s="255"/>
      <c r="I51" s="256" t="str">
        <f t="shared" si="1"/>
        <v/>
      </c>
      <c r="J51" s="256" t="str">
        <f t="shared" si="2"/>
        <v/>
      </c>
      <c r="K51" s="256" t="str">
        <f t="shared" si="3"/>
        <v/>
      </c>
      <c r="L51" s="250" t="str">
        <f t="shared" si="4"/>
        <v/>
      </c>
      <c r="M51" s="257"/>
      <c r="N51" s="250" t="str">
        <f t="shared" si="5"/>
        <v/>
      </c>
      <c r="O51" s="250" t="str">
        <f t="shared" si="6"/>
        <v/>
      </c>
      <c r="P51" s="252"/>
      <c r="Q51" s="250" t="b">
        <v>0</v>
      </c>
    </row>
    <row r="52" spans="1:17" ht="20" customHeight="1">
      <c r="A52" s="250" t="str">
        <f t="shared" si="0"/>
        <v/>
      </c>
      <c r="B52" s="251"/>
      <c r="C52" s="252"/>
      <c r="D52" s="252"/>
      <c r="E52" s="252"/>
      <c r="F52" s="253"/>
      <c r="G52" s="254"/>
      <c r="H52" s="255"/>
      <c r="I52" s="256" t="str">
        <f t="shared" si="1"/>
        <v/>
      </c>
      <c r="J52" s="256" t="str">
        <f t="shared" si="2"/>
        <v/>
      </c>
      <c r="K52" s="256" t="str">
        <f t="shared" si="3"/>
        <v/>
      </c>
      <c r="L52" s="250" t="str">
        <f t="shared" si="4"/>
        <v/>
      </c>
      <c r="M52" s="257"/>
      <c r="N52" s="250" t="str">
        <f t="shared" si="5"/>
        <v/>
      </c>
      <c r="O52" s="250" t="str">
        <f t="shared" si="6"/>
        <v/>
      </c>
      <c r="P52" s="252"/>
      <c r="Q52" s="250" t="b">
        <v>0</v>
      </c>
    </row>
    <row r="53" spans="1:17" ht="20" customHeight="1">
      <c r="A53" s="250" t="str">
        <f t="shared" si="0"/>
        <v/>
      </c>
      <c r="B53" s="251"/>
      <c r="C53" s="252"/>
      <c r="D53" s="252"/>
      <c r="E53" s="252"/>
      <c r="F53" s="253"/>
      <c r="G53" s="254"/>
      <c r="H53" s="255"/>
      <c r="I53" s="256" t="str">
        <f t="shared" si="1"/>
        <v/>
      </c>
      <c r="J53" s="256" t="str">
        <f t="shared" si="2"/>
        <v/>
      </c>
      <c r="K53" s="256" t="str">
        <f t="shared" si="3"/>
        <v/>
      </c>
      <c r="L53" s="250" t="str">
        <f t="shared" si="4"/>
        <v/>
      </c>
      <c r="M53" s="257"/>
      <c r="N53" s="250" t="str">
        <f t="shared" si="5"/>
        <v/>
      </c>
      <c r="O53" s="250" t="str">
        <f t="shared" si="6"/>
        <v/>
      </c>
      <c r="P53" s="252"/>
      <c r="Q53" s="250" t="b">
        <v>0</v>
      </c>
    </row>
    <row r="54" spans="1:17" ht="20" customHeight="1">
      <c r="A54" s="250" t="str">
        <f t="shared" si="0"/>
        <v/>
      </c>
      <c r="B54" s="251"/>
      <c r="C54" s="252"/>
      <c r="D54" s="252"/>
      <c r="E54" s="252"/>
      <c r="F54" s="253"/>
      <c r="G54" s="254"/>
      <c r="H54" s="255"/>
      <c r="I54" s="256" t="str">
        <f t="shared" si="1"/>
        <v/>
      </c>
      <c r="J54" s="256" t="str">
        <f t="shared" si="2"/>
        <v/>
      </c>
      <c r="K54" s="256" t="str">
        <f t="shared" si="3"/>
        <v/>
      </c>
      <c r="L54" s="250" t="str">
        <f t="shared" si="4"/>
        <v/>
      </c>
      <c r="M54" s="257"/>
      <c r="N54" s="250" t="str">
        <f t="shared" si="5"/>
        <v/>
      </c>
      <c r="O54" s="250" t="str">
        <f t="shared" si="6"/>
        <v/>
      </c>
      <c r="P54" s="252"/>
      <c r="Q54" s="250" t="b">
        <v>0</v>
      </c>
    </row>
    <row r="55" spans="1:17" ht="20" customHeight="1">
      <c r="A55" s="250" t="str">
        <f t="shared" si="0"/>
        <v/>
      </c>
      <c r="B55" s="251"/>
      <c r="C55" s="252"/>
      <c r="D55" s="252"/>
      <c r="E55" s="252"/>
      <c r="F55" s="253"/>
      <c r="G55" s="254"/>
      <c r="H55" s="255"/>
      <c r="I55" s="256" t="str">
        <f t="shared" si="1"/>
        <v/>
      </c>
      <c r="J55" s="256" t="str">
        <f t="shared" si="2"/>
        <v/>
      </c>
      <c r="K55" s="256" t="str">
        <f t="shared" si="3"/>
        <v/>
      </c>
      <c r="L55" s="250" t="str">
        <f t="shared" si="4"/>
        <v/>
      </c>
      <c r="M55" s="257"/>
      <c r="N55" s="250" t="str">
        <f t="shared" si="5"/>
        <v/>
      </c>
      <c r="O55" s="250" t="str">
        <f t="shared" si="6"/>
        <v/>
      </c>
      <c r="P55" s="252"/>
      <c r="Q55" s="250" t="b">
        <v>0</v>
      </c>
    </row>
    <row r="56" spans="1:17" ht="20" customHeight="1">
      <c r="A56" s="250" t="str">
        <f t="shared" si="0"/>
        <v/>
      </c>
      <c r="B56" s="251"/>
      <c r="C56" s="252"/>
      <c r="D56" s="252"/>
      <c r="E56" s="252"/>
      <c r="F56" s="253"/>
      <c r="G56" s="254"/>
      <c r="H56" s="255"/>
      <c r="I56" s="256" t="str">
        <f t="shared" si="1"/>
        <v/>
      </c>
      <c r="J56" s="256" t="str">
        <f t="shared" si="2"/>
        <v/>
      </c>
      <c r="K56" s="256" t="str">
        <f t="shared" si="3"/>
        <v/>
      </c>
      <c r="L56" s="250" t="str">
        <f t="shared" si="4"/>
        <v/>
      </c>
      <c r="M56" s="257"/>
      <c r="N56" s="250" t="str">
        <f t="shared" si="5"/>
        <v/>
      </c>
      <c r="O56" s="250" t="str">
        <f t="shared" si="6"/>
        <v/>
      </c>
      <c r="P56" s="252"/>
      <c r="Q56" s="250" t="b">
        <v>0</v>
      </c>
    </row>
    <row r="57" spans="1:17" ht="20" customHeight="1">
      <c r="A57" s="250" t="str">
        <f t="shared" si="0"/>
        <v/>
      </c>
      <c r="B57" s="251"/>
      <c r="C57" s="252"/>
      <c r="D57" s="252"/>
      <c r="E57" s="252"/>
      <c r="F57" s="253"/>
      <c r="G57" s="254"/>
      <c r="H57" s="255"/>
      <c r="I57" s="256" t="str">
        <f t="shared" si="1"/>
        <v/>
      </c>
      <c r="J57" s="256" t="str">
        <f t="shared" si="2"/>
        <v/>
      </c>
      <c r="K57" s="256" t="str">
        <f t="shared" si="3"/>
        <v/>
      </c>
      <c r="L57" s="250" t="str">
        <f t="shared" si="4"/>
        <v/>
      </c>
      <c r="M57" s="257"/>
      <c r="N57" s="250" t="str">
        <f t="shared" si="5"/>
        <v/>
      </c>
      <c r="O57" s="250" t="str">
        <f t="shared" si="6"/>
        <v/>
      </c>
      <c r="P57" s="252"/>
      <c r="Q57" s="250" t="b">
        <v>0</v>
      </c>
    </row>
    <row r="58" spans="1:17" ht="20" customHeight="1">
      <c r="A58" s="250" t="str">
        <f t="shared" si="0"/>
        <v/>
      </c>
      <c r="B58" s="251"/>
      <c r="C58" s="252"/>
      <c r="D58" s="252"/>
      <c r="E58" s="252"/>
      <c r="F58" s="253"/>
      <c r="G58" s="254"/>
      <c r="H58" s="255"/>
      <c r="I58" s="256" t="str">
        <f t="shared" si="1"/>
        <v/>
      </c>
      <c r="J58" s="256" t="str">
        <f t="shared" si="2"/>
        <v/>
      </c>
      <c r="K58" s="256" t="str">
        <f t="shared" si="3"/>
        <v/>
      </c>
      <c r="L58" s="250" t="str">
        <f t="shared" si="4"/>
        <v/>
      </c>
      <c r="M58" s="257"/>
      <c r="N58" s="250" t="str">
        <f t="shared" si="5"/>
        <v/>
      </c>
      <c r="O58" s="250" t="str">
        <f t="shared" si="6"/>
        <v/>
      </c>
      <c r="P58" s="252"/>
      <c r="Q58" s="250" t="b">
        <v>0</v>
      </c>
    </row>
    <row r="59" spans="1:17" ht="20" customHeight="1">
      <c r="A59" s="250" t="str">
        <f t="shared" si="0"/>
        <v/>
      </c>
      <c r="B59" s="251"/>
      <c r="C59" s="252"/>
      <c r="D59" s="252"/>
      <c r="E59" s="252"/>
      <c r="F59" s="253"/>
      <c r="G59" s="254"/>
      <c r="H59" s="255"/>
      <c r="I59" s="256" t="str">
        <f t="shared" si="1"/>
        <v/>
      </c>
      <c r="J59" s="256" t="str">
        <f t="shared" si="2"/>
        <v/>
      </c>
      <c r="K59" s="256" t="str">
        <f t="shared" si="3"/>
        <v/>
      </c>
      <c r="L59" s="250" t="str">
        <f t="shared" si="4"/>
        <v/>
      </c>
      <c r="M59" s="257"/>
      <c r="N59" s="250" t="str">
        <f t="shared" si="5"/>
        <v/>
      </c>
      <c r="O59" s="250" t="str">
        <f t="shared" si="6"/>
        <v/>
      </c>
      <c r="P59" s="252"/>
      <c r="Q59" s="250" t="b">
        <v>0</v>
      </c>
    </row>
    <row r="60" spans="1:17" ht="20" customHeight="1">
      <c r="A60" s="250" t="str">
        <f t="shared" si="0"/>
        <v/>
      </c>
      <c r="B60" s="251"/>
      <c r="C60" s="252"/>
      <c r="D60" s="252"/>
      <c r="E60" s="252"/>
      <c r="F60" s="253"/>
      <c r="G60" s="254"/>
      <c r="H60" s="255"/>
      <c r="I60" s="256" t="str">
        <f t="shared" si="1"/>
        <v/>
      </c>
      <c r="J60" s="256" t="str">
        <f t="shared" si="2"/>
        <v/>
      </c>
      <c r="K60" s="256" t="str">
        <f t="shared" si="3"/>
        <v/>
      </c>
      <c r="L60" s="250" t="str">
        <f t="shared" si="4"/>
        <v/>
      </c>
      <c r="M60" s="257"/>
      <c r="N60" s="250" t="str">
        <f t="shared" si="5"/>
        <v/>
      </c>
      <c r="O60" s="250" t="str">
        <f t="shared" si="6"/>
        <v/>
      </c>
      <c r="P60" s="252"/>
      <c r="Q60" s="250" t="b">
        <v>0</v>
      </c>
    </row>
    <row r="61" spans="1:17" ht="20" customHeight="1">
      <c r="A61" s="250" t="str">
        <f t="shared" si="0"/>
        <v/>
      </c>
      <c r="B61" s="251"/>
      <c r="C61" s="252"/>
      <c r="D61" s="252"/>
      <c r="E61" s="252"/>
      <c r="F61" s="253"/>
      <c r="G61" s="254"/>
      <c r="H61" s="255"/>
      <c r="I61" s="256" t="str">
        <f t="shared" si="1"/>
        <v/>
      </c>
      <c r="J61" s="256" t="str">
        <f t="shared" si="2"/>
        <v/>
      </c>
      <c r="K61" s="256" t="str">
        <f t="shared" si="3"/>
        <v/>
      </c>
      <c r="L61" s="250" t="str">
        <f t="shared" si="4"/>
        <v/>
      </c>
      <c r="M61" s="257"/>
      <c r="N61" s="250" t="str">
        <f t="shared" si="5"/>
        <v/>
      </c>
      <c r="O61" s="250" t="str">
        <f t="shared" si="6"/>
        <v/>
      </c>
      <c r="P61" s="252"/>
      <c r="Q61" s="250" t="b">
        <v>0</v>
      </c>
    </row>
    <row r="62" spans="1:17" ht="20" customHeight="1">
      <c r="A62" s="250" t="str">
        <f t="shared" si="0"/>
        <v/>
      </c>
      <c r="B62" s="251"/>
      <c r="C62" s="252"/>
      <c r="D62" s="252"/>
      <c r="E62" s="252"/>
      <c r="F62" s="253"/>
      <c r="G62" s="254"/>
      <c r="H62" s="255"/>
      <c r="I62" s="256" t="str">
        <f t="shared" si="1"/>
        <v/>
      </c>
      <c r="J62" s="256" t="str">
        <f t="shared" si="2"/>
        <v/>
      </c>
      <c r="K62" s="256" t="str">
        <f t="shared" si="3"/>
        <v/>
      </c>
      <c r="L62" s="250" t="str">
        <f t="shared" si="4"/>
        <v/>
      </c>
      <c r="M62" s="257"/>
      <c r="N62" s="250" t="str">
        <f t="shared" si="5"/>
        <v/>
      </c>
      <c r="O62" s="250" t="str">
        <f t="shared" si="6"/>
        <v/>
      </c>
      <c r="P62" s="252"/>
      <c r="Q62" s="250" t="b">
        <v>0</v>
      </c>
    </row>
    <row r="63" spans="1:17" ht="20" customHeight="1">
      <c r="A63" s="250" t="str">
        <f t="shared" si="0"/>
        <v/>
      </c>
      <c r="B63" s="251"/>
      <c r="C63" s="252"/>
      <c r="D63" s="252"/>
      <c r="E63" s="252"/>
      <c r="F63" s="253"/>
      <c r="G63" s="254"/>
      <c r="H63" s="255"/>
      <c r="I63" s="256" t="str">
        <f t="shared" si="1"/>
        <v/>
      </c>
      <c r="J63" s="256" t="str">
        <f t="shared" si="2"/>
        <v/>
      </c>
      <c r="K63" s="256" t="str">
        <f t="shared" si="3"/>
        <v/>
      </c>
      <c r="L63" s="250" t="str">
        <f t="shared" si="4"/>
        <v/>
      </c>
      <c r="M63" s="257"/>
      <c r="N63" s="250" t="str">
        <f t="shared" si="5"/>
        <v/>
      </c>
      <c r="O63" s="250" t="str">
        <f t="shared" si="6"/>
        <v/>
      </c>
      <c r="P63" s="252"/>
      <c r="Q63" s="250" t="b">
        <v>0</v>
      </c>
    </row>
    <row r="64" spans="1:17" ht="20" customHeight="1">
      <c r="A64" s="250" t="str">
        <f t="shared" si="0"/>
        <v/>
      </c>
      <c r="B64" s="251"/>
      <c r="C64" s="252"/>
      <c r="D64" s="252"/>
      <c r="E64" s="252"/>
      <c r="F64" s="253"/>
      <c r="G64" s="254"/>
      <c r="H64" s="255"/>
      <c r="I64" s="256" t="str">
        <f t="shared" si="1"/>
        <v/>
      </c>
      <c r="J64" s="256" t="str">
        <f t="shared" si="2"/>
        <v/>
      </c>
      <c r="K64" s="256" t="str">
        <f t="shared" si="3"/>
        <v/>
      </c>
      <c r="L64" s="250" t="str">
        <f t="shared" si="4"/>
        <v/>
      </c>
      <c r="M64" s="257"/>
      <c r="N64" s="250" t="str">
        <f t="shared" si="5"/>
        <v/>
      </c>
      <c r="O64" s="250" t="str">
        <f t="shared" si="6"/>
        <v/>
      </c>
      <c r="P64" s="252"/>
      <c r="Q64" s="250" t="b">
        <v>0</v>
      </c>
    </row>
    <row r="65" spans="1:17" ht="20" customHeight="1">
      <c r="A65" s="250" t="str">
        <f t="shared" si="0"/>
        <v/>
      </c>
      <c r="B65" s="251"/>
      <c r="C65" s="252"/>
      <c r="D65" s="252"/>
      <c r="E65" s="252"/>
      <c r="F65" s="253"/>
      <c r="G65" s="254"/>
      <c r="H65" s="255"/>
      <c r="I65" s="256" t="str">
        <f t="shared" si="1"/>
        <v/>
      </c>
      <c r="J65" s="256" t="str">
        <f t="shared" si="2"/>
        <v/>
      </c>
      <c r="K65" s="256" t="str">
        <f t="shared" si="3"/>
        <v/>
      </c>
      <c r="L65" s="250" t="str">
        <f t="shared" si="4"/>
        <v/>
      </c>
      <c r="M65" s="257"/>
      <c r="N65" s="250" t="str">
        <f t="shared" si="5"/>
        <v/>
      </c>
      <c r="O65" s="250" t="str">
        <f t="shared" si="6"/>
        <v/>
      </c>
      <c r="P65" s="252"/>
      <c r="Q65" s="250" t="b">
        <v>0</v>
      </c>
    </row>
    <row r="66" spans="1:17" ht="20" customHeight="1">
      <c r="A66" s="250" t="str">
        <f t="shared" ref="A66:A129" si="7">IF(C66="","",ROW()-1)</f>
        <v/>
      </c>
      <c r="B66" s="251"/>
      <c r="C66" s="252"/>
      <c r="D66" s="252"/>
      <c r="E66" s="252"/>
      <c r="F66" s="253"/>
      <c r="G66" s="254"/>
      <c r="H66" s="255"/>
      <c r="I66" s="256" t="str">
        <f t="shared" ref="I66:I129" si="8">IF(C66="","",IF(D66="Treasury bond",CommBond,CommETF))</f>
        <v/>
      </c>
      <c r="J66" s="256" t="str">
        <f t="shared" ref="J66:J129" si="9">IF(C66="","",IF(D66="Treasury bond",F66*G66/100,F66*G66))</f>
        <v/>
      </c>
      <c r="K66" s="256" t="str">
        <f t="shared" ref="K66:K129" si="10">IF(C66="","",IF(E66="Buy",-(J66+N(H66)+I66),J66+N(H66)-I66))</f>
        <v/>
      </c>
      <c r="L66" s="250" t="str">
        <f t="shared" ref="L66:L129" si="11">IF(C66="","",IFERROR(VLOOKUP(C66,PlanHoldings,2,FALSE),"Not in plan"))</f>
        <v/>
      </c>
      <c r="M66" s="257"/>
      <c r="N66" s="250" t="str">
        <f t="shared" ref="N66:N129" si="12">IF(M66="","",LEN(M66))</f>
        <v/>
      </c>
      <c r="O66" s="250" t="str">
        <f t="shared" ref="O66:O129" si="13">IF(OR(M66="",NoteLimit=""),"",IF(N66&lt;=NoteLimit,"OK","Too long"))</f>
        <v/>
      </c>
      <c r="P66" s="252"/>
      <c r="Q66" s="250" t="b">
        <v>0</v>
      </c>
    </row>
    <row r="67" spans="1:17" ht="20" customHeight="1">
      <c r="A67" s="250" t="str">
        <f t="shared" si="7"/>
        <v/>
      </c>
      <c r="B67" s="251"/>
      <c r="C67" s="252"/>
      <c r="D67" s="252"/>
      <c r="E67" s="252"/>
      <c r="F67" s="253"/>
      <c r="G67" s="254"/>
      <c r="H67" s="255"/>
      <c r="I67" s="256" t="str">
        <f t="shared" si="8"/>
        <v/>
      </c>
      <c r="J67" s="256" t="str">
        <f t="shared" si="9"/>
        <v/>
      </c>
      <c r="K67" s="256" t="str">
        <f t="shared" si="10"/>
        <v/>
      </c>
      <c r="L67" s="250" t="str">
        <f t="shared" si="11"/>
        <v/>
      </c>
      <c r="M67" s="257"/>
      <c r="N67" s="250" t="str">
        <f t="shared" si="12"/>
        <v/>
      </c>
      <c r="O67" s="250" t="str">
        <f t="shared" si="13"/>
        <v/>
      </c>
      <c r="P67" s="252"/>
      <c r="Q67" s="250" t="b">
        <v>0</v>
      </c>
    </row>
    <row r="68" spans="1:17" ht="20" customHeight="1">
      <c r="A68" s="250" t="str">
        <f t="shared" si="7"/>
        <v/>
      </c>
      <c r="B68" s="251"/>
      <c r="C68" s="252"/>
      <c r="D68" s="252"/>
      <c r="E68" s="252"/>
      <c r="F68" s="253"/>
      <c r="G68" s="254"/>
      <c r="H68" s="255"/>
      <c r="I68" s="256" t="str">
        <f t="shared" si="8"/>
        <v/>
      </c>
      <c r="J68" s="256" t="str">
        <f t="shared" si="9"/>
        <v/>
      </c>
      <c r="K68" s="256" t="str">
        <f t="shared" si="10"/>
        <v/>
      </c>
      <c r="L68" s="250" t="str">
        <f t="shared" si="11"/>
        <v/>
      </c>
      <c r="M68" s="257"/>
      <c r="N68" s="250" t="str">
        <f t="shared" si="12"/>
        <v/>
      </c>
      <c r="O68" s="250" t="str">
        <f t="shared" si="13"/>
        <v/>
      </c>
      <c r="P68" s="252"/>
      <c r="Q68" s="250" t="b">
        <v>0</v>
      </c>
    </row>
    <row r="69" spans="1:17" ht="20" customHeight="1">
      <c r="A69" s="250" t="str">
        <f t="shared" si="7"/>
        <v/>
      </c>
      <c r="B69" s="251"/>
      <c r="C69" s="252"/>
      <c r="D69" s="252"/>
      <c r="E69" s="252"/>
      <c r="F69" s="253"/>
      <c r="G69" s="254"/>
      <c r="H69" s="255"/>
      <c r="I69" s="256" t="str">
        <f t="shared" si="8"/>
        <v/>
      </c>
      <c r="J69" s="256" t="str">
        <f t="shared" si="9"/>
        <v/>
      </c>
      <c r="K69" s="256" t="str">
        <f t="shared" si="10"/>
        <v/>
      </c>
      <c r="L69" s="250" t="str">
        <f t="shared" si="11"/>
        <v/>
      </c>
      <c r="M69" s="257"/>
      <c r="N69" s="250" t="str">
        <f t="shared" si="12"/>
        <v/>
      </c>
      <c r="O69" s="250" t="str">
        <f t="shared" si="13"/>
        <v/>
      </c>
      <c r="P69" s="252"/>
      <c r="Q69" s="250" t="b">
        <v>0</v>
      </c>
    </row>
    <row r="70" spans="1:17" ht="20" customHeight="1">
      <c r="A70" s="250" t="str">
        <f t="shared" si="7"/>
        <v/>
      </c>
      <c r="B70" s="251"/>
      <c r="C70" s="252"/>
      <c r="D70" s="252"/>
      <c r="E70" s="252"/>
      <c r="F70" s="253"/>
      <c r="G70" s="254"/>
      <c r="H70" s="255"/>
      <c r="I70" s="256" t="str">
        <f t="shared" si="8"/>
        <v/>
      </c>
      <c r="J70" s="256" t="str">
        <f t="shared" si="9"/>
        <v/>
      </c>
      <c r="K70" s="256" t="str">
        <f t="shared" si="10"/>
        <v/>
      </c>
      <c r="L70" s="250" t="str">
        <f t="shared" si="11"/>
        <v/>
      </c>
      <c r="M70" s="257"/>
      <c r="N70" s="250" t="str">
        <f t="shared" si="12"/>
        <v/>
      </c>
      <c r="O70" s="250" t="str">
        <f t="shared" si="13"/>
        <v/>
      </c>
      <c r="P70" s="252"/>
      <c r="Q70" s="250" t="b">
        <v>0</v>
      </c>
    </row>
    <row r="71" spans="1:17" ht="20" customHeight="1">
      <c r="A71" s="250" t="str">
        <f t="shared" si="7"/>
        <v/>
      </c>
      <c r="B71" s="251"/>
      <c r="C71" s="252"/>
      <c r="D71" s="252"/>
      <c r="E71" s="252"/>
      <c r="F71" s="253"/>
      <c r="G71" s="254"/>
      <c r="H71" s="255"/>
      <c r="I71" s="256" t="str">
        <f t="shared" si="8"/>
        <v/>
      </c>
      <c r="J71" s="256" t="str">
        <f t="shared" si="9"/>
        <v/>
      </c>
      <c r="K71" s="256" t="str">
        <f t="shared" si="10"/>
        <v/>
      </c>
      <c r="L71" s="250" t="str">
        <f t="shared" si="11"/>
        <v/>
      </c>
      <c r="M71" s="257"/>
      <c r="N71" s="250" t="str">
        <f t="shared" si="12"/>
        <v/>
      </c>
      <c r="O71" s="250" t="str">
        <f t="shared" si="13"/>
        <v/>
      </c>
      <c r="P71" s="252"/>
      <c r="Q71" s="250" t="b">
        <v>0</v>
      </c>
    </row>
    <row r="72" spans="1:17" ht="20" customHeight="1">
      <c r="A72" s="250" t="str">
        <f t="shared" si="7"/>
        <v/>
      </c>
      <c r="B72" s="251"/>
      <c r="C72" s="252"/>
      <c r="D72" s="252"/>
      <c r="E72" s="252"/>
      <c r="F72" s="253"/>
      <c r="G72" s="254"/>
      <c r="H72" s="255"/>
      <c r="I72" s="256" t="str">
        <f t="shared" si="8"/>
        <v/>
      </c>
      <c r="J72" s="256" t="str">
        <f t="shared" si="9"/>
        <v/>
      </c>
      <c r="K72" s="256" t="str">
        <f t="shared" si="10"/>
        <v/>
      </c>
      <c r="L72" s="250" t="str">
        <f t="shared" si="11"/>
        <v/>
      </c>
      <c r="M72" s="257"/>
      <c r="N72" s="250" t="str">
        <f t="shared" si="12"/>
        <v/>
      </c>
      <c r="O72" s="250" t="str">
        <f t="shared" si="13"/>
        <v/>
      </c>
      <c r="P72" s="252"/>
      <c r="Q72" s="250" t="b">
        <v>0</v>
      </c>
    </row>
    <row r="73" spans="1:17" ht="20" customHeight="1">
      <c r="A73" s="250" t="str">
        <f t="shared" si="7"/>
        <v/>
      </c>
      <c r="B73" s="251"/>
      <c r="C73" s="252"/>
      <c r="D73" s="252"/>
      <c r="E73" s="252"/>
      <c r="F73" s="253"/>
      <c r="G73" s="254"/>
      <c r="H73" s="255"/>
      <c r="I73" s="256" t="str">
        <f t="shared" si="8"/>
        <v/>
      </c>
      <c r="J73" s="256" t="str">
        <f t="shared" si="9"/>
        <v/>
      </c>
      <c r="K73" s="256" t="str">
        <f t="shared" si="10"/>
        <v/>
      </c>
      <c r="L73" s="250" t="str">
        <f t="shared" si="11"/>
        <v/>
      </c>
      <c r="M73" s="257"/>
      <c r="N73" s="250" t="str">
        <f t="shared" si="12"/>
        <v/>
      </c>
      <c r="O73" s="250" t="str">
        <f t="shared" si="13"/>
        <v/>
      </c>
      <c r="P73" s="252"/>
      <c r="Q73" s="250" t="b">
        <v>0</v>
      </c>
    </row>
    <row r="74" spans="1:17" ht="20" customHeight="1">
      <c r="A74" s="250" t="str">
        <f t="shared" si="7"/>
        <v/>
      </c>
      <c r="B74" s="251"/>
      <c r="C74" s="252"/>
      <c r="D74" s="252"/>
      <c r="E74" s="252"/>
      <c r="F74" s="253"/>
      <c r="G74" s="254"/>
      <c r="H74" s="255"/>
      <c r="I74" s="256" t="str">
        <f t="shared" si="8"/>
        <v/>
      </c>
      <c r="J74" s="256" t="str">
        <f t="shared" si="9"/>
        <v/>
      </c>
      <c r="K74" s="256" t="str">
        <f t="shared" si="10"/>
        <v/>
      </c>
      <c r="L74" s="250" t="str">
        <f t="shared" si="11"/>
        <v/>
      </c>
      <c r="M74" s="257"/>
      <c r="N74" s="250" t="str">
        <f t="shared" si="12"/>
        <v/>
      </c>
      <c r="O74" s="250" t="str">
        <f t="shared" si="13"/>
        <v/>
      </c>
      <c r="P74" s="252"/>
      <c r="Q74" s="250" t="b">
        <v>0</v>
      </c>
    </row>
    <row r="75" spans="1:17" ht="20" customHeight="1">
      <c r="A75" s="250" t="str">
        <f t="shared" si="7"/>
        <v/>
      </c>
      <c r="B75" s="251"/>
      <c r="C75" s="252"/>
      <c r="D75" s="252"/>
      <c r="E75" s="252"/>
      <c r="F75" s="253"/>
      <c r="G75" s="254"/>
      <c r="H75" s="255"/>
      <c r="I75" s="256" t="str">
        <f t="shared" si="8"/>
        <v/>
      </c>
      <c r="J75" s="256" t="str">
        <f t="shared" si="9"/>
        <v/>
      </c>
      <c r="K75" s="256" t="str">
        <f t="shared" si="10"/>
        <v/>
      </c>
      <c r="L75" s="250" t="str">
        <f t="shared" si="11"/>
        <v/>
      </c>
      <c r="M75" s="257"/>
      <c r="N75" s="250" t="str">
        <f t="shared" si="12"/>
        <v/>
      </c>
      <c r="O75" s="250" t="str">
        <f t="shared" si="13"/>
        <v/>
      </c>
      <c r="P75" s="252"/>
      <c r="Q75" s="250" t="b">
        <v>0</v>
      </c>
    </row>
    <row r="76" spans="1:17" ht="20" customHeight="1">
      <c r="A76" s="250" t="str">
        <f t="shared" si="7"/>
        <v/>
      </c>
      <c r="B76" s="251"/>
      <c r="C76" s="252"/>
      <c r="D76" s="252"/>
      <c r="E76" s="252"/>
      <c r="F76" s="253"/>
      <c r="G76" s="254"/>
      <c r="H76" s="255"/>
      <c r="I76" s="256" t="str">
        <f t="shared" si="8"/>
        <v/>
      </c>
      <c r="J76" s="256" t="str">
        <f t="shared" si="9"/>
        <v/>
      </c>
      <c r="K76" s="256" t="str">
        <f t="shared" si="10"/>
        <v/>
      </c>
      <c r="L76" s="250" t="str">
        <f t="shared" si="11"/>
        <v/>
      </c>
      <c r="M76" s="257"/>
      <c r="N76" s="250" t="str">
        <f t="shared" si="12"/>
        <v/>
      </c>
      <c r="O76" s="250" t="str">
        <f t="shared" si="13"/>
        <v/>
      </c>
      <c r="P76" s="252"/>
      <c r="Q76" s="250" t="b">
        <v>0</v>
      </c>
    </row>
    <row r="77" spans="1:17" ht="20" customHeight="1">
      <c r="A77" s="250" t="str">
        <f t="shared" si="7"/>
        <v/>
      </c>
      <c r="B77" s="251"/>
      <c r="C77" s="252"/>
      <c r="D77" s="252"/>
      <c r="E77" s="252"/>
      <c r="F77" s="253"/>
      <c r="G77" s="254"/>
      <c r="H77" s="255"/>
      <c r="I77" s="256" t="str">
        <f t="shared" si="8"/>
        <v/>
      </c>
      <c r="J77" s="256" t="str">
        <f t="shared" si="9"/>
        <v/>
      </c>
      <c r="K77" s="256" t="str">
        <f t="shared" si="10"/>
        <v/>
      </c>
      <c r="L77" s="250" t="str">
        <f t="shared" si="11"/>
        <v/>
      </c>
      <c r="M77" s="257"/>
      <c r="N77" s="250" t="str">
        <f t="shared" si="12"/>
        <v/>
      </c>
      <c r="O77" s="250" t="str">
        <f t="shared" si="13"/>
        <v/>
      </c>
      <c r="P77" s="252"/>
      <c r="Q77" s="250" t="b">
        <v>0</v>
      </c>
    </row>
    <row r="78" spans="1:17" ht="20" customHeight="1">
      <c r="A78" s="250" t="str">
        <f t="shared" si="7"/>
        <v/>
      </c>
      <c r="B78" s="251"/>
      <c r="C78" s="252"/>
      <c r="D78" s="252"/>
      <c r="E78" s="252"/>
      <c r="F78" s="253"/>
      <c r="G78" s="254"/>
      <c r="H78" s="255"/>
      <c r="I78" s="256" t="str">
        <f t="shared" si="8"/>
        <v/>
      </c>
      <c r="J78" s="256" t="str">
        <f t="shared" si="9"/>
        <v/>
      </c>
      <c r="K78" s="256" t="str">
        <f t="shared" si="10"/>
        <v/>
      </c>
      <c r="L78" s="250" t="str">
        <f t="shared" si="11"/>
        <v/>
      </c>
      <c r="M78" s="257"/>
      <c r="N78" s="250" t="str">
        <f t="shared" si="12"/>
        <v/>
      </c>
      <c r="O78" s="250" t="str">
        <f t="shared" si="13"/>
        <v/>
      </c>
      <c r="P78" s="252"/>
      <c r="Q78" s="250" t="b">
        <v>0</v>
      </c>
    </row>
    <row r="79" spans="1:17" ht="20" customHeight="1">
      <c r="A79" s="250" t="str">
        <f t="shared" si="7"/>
        <v/>
      </c>
      <c r="B79" s="251"/>
      <c r="C79" s="252"/>
      <c r="D79" s="252"/>
      <c r="E79" s="252"/>
      <c r="F79" s="253"/>
      <c r="G79" s="254"/>
      <c r="H79" s="255"/>
      <c r="I79" s="256" t="str">
        <f t="shared" si="8"/>
        <v/>
      </c>
      <c r="J79" s="256" t="str">
        <f t="shared" si="9"/>
        <v/>
      </c>
      <c r="K79" s="256" t="str">
        <f t="shared" si="10"/>
        <v/>
      </c>
      <c r="L79" s="250" t="str">
        <f t="shared" si="11"/>
        <v/>
      </c>
      <c r="M79" s="257"/>
      <c r="N79" s="250" t="str">
        <f t="shared" si="12"/>
        <v/>
      </c>
      <c r="O79" s="250" t="str">
        <f t="shared" si="13"/>
        <v/>
      </c>
      <c r="P79" s="252"/>
      <c r="Q79" s="250" t="b">
        <v>0</v>
      </c>
    </row>
    <row r="80" spans="1:17" ht="20" customHeight="1">
      <c r="A80" s="250" t="str">
        <f t="shared" si="7"/>
        <v/>
      </c>
      <c r="B80" s="251"/>
      <c r="C80" s="252"/>
      <c r="D80" s="252"/>
      <c r="E80" s="252"/>
      <c r="F80" s="253"/>
      <c r="G80" s="254"/>
      <c r="H80" s="255"/>
      <c r="I80" s="256" t="str">
        <f t="shared" si="8"/>
        <v/>
      </c>
      <c r="J80" s="256" t="str">
        <f t="shared" si="9"/>
        <v/>
      </c>
      <c r="K80" s="256" t="str">
        <f t="shared" si="10"/>
        <v/>
      </c>
      <c r="L80" s="250" t="str">
        <f t="shared" si="11"/>
        <v/>
      </c>
      <c r="M80" s="257"/>
      <c r="N80" s="250" t="str">
        <f t="shared" si="12"/>
        <v/>
      </c>
      <c r="O80" s="250" t="str">
        <f t="shared" si="13"/>
        <v/>
      </c>
      <c r="P80" s="252"/>
      <c r="Q80" s="250" t="b">
        <v>0</v>
      </c>
    </row>
    <row r="81" spans="1:17" ht="20" customHeight="1">
      <c r="A81" s="250" t="str">
        <f t="shared" si="7"/>
        <v/>
      </c>
      <c r="B81" s="251"/>
      <c r="C81" s="252"/>
      <c r="D81" s="252"/>
      <c r="E81" s="252"/>
      <c r="F81" s="253"/>
      <c r="G81" s="254"/>
      <c r="H81" s="255"/>
      <c r="I81" s="256" t="str">
        <f t="shared" si="8"/>
        <v/>
      </c>
      <c r="J81" s="256" t="str">
        <f t="shared" si="9"/>
        <v/>
      </c>
      <c r="K81" s="256" t="str">
        <f t="shared" si="10"/>
        <v/>
      </c>
      <c r="L81" s="250" t="str">
        <f t="shared" si="11"/>
        <v/>
      </c>
      <c r="M81" s="257"/>
      <c r="N81" s="250" t="str">
        <f t="shared" si="12"/>
        <v/>
      </c>
      <c r="O81" s="250" t="str">
        <f t="shared" si="13"/>
        <v/>
      </c>
      <c r="P81" s="252"/>
      <c r="Q81" s="250" t="b">
        <v>0</v>
      </c>
    </row>
    <row r="82" spans="1:17" ht="20" customHeight="1">
      <c r="A82" s="250" t="str">
        <f t="shared" si="7"/>
        <v/>
      </c>
      <c r="B82" s="251"/>
      <c r="C82" s="252"/>
      <c r="D82" s="252"/>
      <c r="E82" s="252"/>
      <c r="F82" s="253"/>
      <c r="G82" s="254"/>
      <c r="H82" s="255"/>
      <c r="I82" s="256" t="str">
        <f t="shared" si="8"/>
        <v/>
      </c>
      <c r="J82" s="256" t="str">
        <f t="shared" si="9"/>
        <v/>
      </c>
      <c r="K82" s="256" t="str">
        <f t="shared" si="10"/>
        <v/>
      </c>
      <c r="L82" s="250" t="str">
        <f t="shared" si="11"/>
        <v/>
      </c>
      <c r="M82" s="257"/>
      <c r="N82" s="250" t="str">
        <f t="shared" si="12"/>
        <v/>
      </c>
      <c r="O82" s="250" t="str">
        <f t="shared" si="13"/>
        <v/>
      </c>
      <c r="P82" s="252"/>
      <c r="Q82" s="250" t="b">
        <v>0</v>
      </c>
    </row>
    <row r="83" spans="1:17" ht="20" customHeight="1">
      <c r="A83" s="250" t="str">
        <f t="shared" si="7"/>
        <v/>
      </c>
      <c r="B83" s="251"/>
      <c r="C83" s="252"/>
      <c r="D83" s="252"/>
      <c r="E83" s="252"/>
      <c r="F83" s="253"/>
      <c r="G83" s="254"/>
      <c r="H83" s="255"/>
      <c r="I83" s="256" t="str">
        <f t="shared" si="8"/>
        <v/>
      </c>
      <c r="J83" s="256" t="str">
        <f t="shared" si="9"/>
        <v/>
      </c>
      <c r="K83" s="256" t="str">
        <f t="shared" si="10"/>
        <v/>
      </c>
      <c r="L83" s="250" t="str">
        <f t="shared" si="11"/>
        <v/>
      </c>
      <c r="M83" s="257"/>
      <c r="N83" s="250" t="str">
        <f t="shared" si="12"/>
        <v/>
      </c>
      <c r="O83" s="250" t="str">
        <f t="shared" si="13"/>
        <v/>
      </c>
      <c r="P83" s="252"/>
      <c r="Q83" s="250" t="b">
        <v>0</v>
      </c>
    </row>
    <row r="84" spans="1:17" ht="20" customHeight="1">
      <c r="A84" s="250" t="str">
        <f t="shared" si="7"/>
        <v/>
      </c>
      <c r="B84" s="251"/>
      <c r="C84" s="252"/>
      <c r="D84" s="252"/>
      <c r="E84" s="252"/>
      <c r="F84" s="253"/>
      <c r="G84" s="254"/>
      <c r="H84" s="255"/>
      <c r="I84" s="256" t="str">
        <f t="shared" si="8"/>
        <v/>
      </c>
      <c r="J84" s="256" t="str">
        <f t="shared" si="9"/>
        <v/>
      </c>
      <c r="K84" s="256" t="str">
        <f t="shared" si="10"/>
        <v/>
      </c>
      <c r="L84" s="250" t="str">
        <f t="shared" si="11"/>
        <v/>
      </c>
      <c r="M84" s="257"/>
      <c r="N84" s="250" t="str">
        <f t="shared" si="12"/>
        <v/>
      </c>
      <c r="O84" s="250" t="str">
        <f t="shared" si="13"/>
        <v/>
      </c>
      <c r="P84" s="252"/>
      <c r="Q84" s="250" t="b">
        <v>0</v>
      </c>
    </row>
    <row r="85" spans="1:17" ht="20" customHeight="1">
      <c r="A85" s="250" t="str">
        <f t="shared" si="7"/>
        <v/>
      </c>
      <c r="B85" s="251"/>
      <c r="C85" s="252"/>
      <c r="D85" s="252"/>
      <c r="E85" s="252"/>
      <c r="F85" s="253"/>
      <c r="G85" s="254"/>
      <c r="H85" s="255"/>
      <c r="I85" s="256" t="str">
        <f t="shared" si="8"/>
        <v/>
      </c>
      <c r="J85" s="256" t="str">
        <f t="shared" si="9"/>
        <v/>
      </c>
      <c r="K85" s="256" t="str">
        <f t="shared" si="10"/>
        <v/>
      </c>
      <c r="L85" s="250" t="str">
        <f t="shared" si="11"/>
        <v/>
      </c>
      <c r="M85" s="257"/>
      <c r="N85" s="250" t="str">
        <f t="shared" si="12"/>
        <v/>
      </c>
      <c r="O85" s="250" t="str">
        <f t="shared" si="13"/>
        <v/>
      </c>
      <c r="P85" s="252"/>
      <c r="Q85" s="250" t="b">
        <v>0</v>
      </c>
    </row>
    <row r="86" spans="1:17" ht="20" customHeight="1">
      <c r="A86" s="250" t="str">
        <f t="shared" si="7"/>
        <v/>
      </c>
      <c r="B86" s="251"/>
      <c r="C86" s="252"/>
      <c r="D86" s="252"/>
      <c r="E86" s="252"/>
      <c r="F86" s="253"/>
      <c r="G86" s="254"/>
      <c r="H86" s="255"/>
      <c r="I86" s="256" t="str">
        <f t="shared" si="8"/>
        <v/>
      </c>
      <c r="J86" s="256" t="str">
        <f t="shared" si="9"/>
        <v/>
      </c>
      <c r="K86" s="256" t="str">
        <f t="shared" si="10"/>
        <v/>
      </c>
      <c r="L86" s="250" t="str">
        <f t="shared" si="11"/>
        <v/>
      </c>
      <c r="M86" s="257"/>
      <c r="N86" s="250" t="str">
        <f t="shared" si="12"/>
        <v/>
      </c>
      <c r="O86" s="250" t="str">
        <f t="shared" si="13"/>
        <v/>
      </c>
      <c r="P86" s="252"/>
      <c r="Q86" s="250" t="b">
        <v>0</v>
      </c>
    </row>
    <row r="87" spans="1:17" ht="20" customHeight="1">
      <c r="A87" s="250" t="str">
        <f t="shared" si="7"/>
        <v/>
      </c>
      <c r="B87" s="251"/>
      <c r="C87" s="252"/>
      <c r="D87" s="252"/>
      <c r="E87" s="252"/>
      <c r="F87" s="253"/>
      <c r="G87" s="254"/>
      <c r="H87" s="255"/>
      <c r="I87" s="256" t="str">
        <f t="shared" si="8"/>
        <v/>
      </c>
      <c r="J87" s="256" t="str">
        <f t="shared" si="9"/>
        <v/>
      </c>
      <c r="K87" s="256" t="str">
        <f t="shared" si="10"/>
        <v/>
      </c>
      <c r="L87" s="250" t="str">
        <f t="shared" si="11"/>
        <v/>
      </c>
      <c r="M87" s="257"/>
      <c r="N87" s="250" t="str">
        <f t="shared" si="12"/>
        <v/>
      </c>
      <c r="O87" s="250" t="str">
        <f t="shared" si="13"/>
        <v/>
      </c>
      <c r="P87" s="252"/>
      <c r="Q87" s="250" t="b">
        <v>0</v>
      </c>
    </row>
    <row r="88" spans="1:17" ht="20" customHeight="1">
      <c r="A88" s="250" t="str">
        <f t="shared" si="7"/>
        <v/>
      </c>
      <c r="B88" s="251"/>
      <c r="C88" s="252"/>
      <c r="D88" s="252"/>
      <c r="E88" s="252"/>
      <c r="F88" s="253"/>
      <c r="G88" s="254"/>
      <c r="H88" s="255"/>
      <c r="I88" s="256" t="str">
        <f t="shared" si="8"/>
        <v/>
      </c>
      <c r="J88" s="256" t="str">
        <f t="shared" si="9"/>
        <v/>
      </c>
      <c r="K88" s="256" t="str">
        <f t="shared" si="10"/>
        <v/>
      </c>
      <c r="L88" s="250" t="str">
        <f t="shared" si="11"/>
        <v/>
      </c>
      <c r="M88" s="257"/>
      <c r="N88" s="250" t="str">
        <f t="shared" si="12"/>
        <v/>
      </c>
      <c r="O88" s="250" t="str">
        <f t="shared" si="13"/>
        <v/>
      </c>
      <c r="P88" s="252"/>
      <c r="Q88" s="250" t="b">
        <v>0</v>
      </c>
    </row>
    <row r="89" spans="1:17" ht="20" customHeight="1">
      <c r="A89" s="250" t="str">
        <f t="shared" si="7"/>
        <v/>
      </c>
      <c r="B89" s="251"/>
      <c r="C89" s="252"/>
      <c r="D89" s="252"/>
      <c r="E89" s="252"/>
      <c r="F89" s="253"/>
      <c r="G89" s="254"/>
      <c r="H89" s="255"/>
      <c r="I89" s="256" t="str">
        <f t="shared" si="8"/>
        <v/>
      </c>
      <c r="J89" s="256" t="str">
        <f t="shared" si="9"/>
        <v/>
      </c>
      <c r="K89" s="256" t="str">
        <f t="shared" si="10"/>
        <v/>
      </c>
      <c r="L89" s="250" t="str">
        <f t="shared" si="11"/>
        <v/>
      </c>
      <c r="M89" s="257"/>
      <c r="N89" s="250" t="str">
        <f t="shared" si="12"/>
        <v/>
      </c>
      <c r="O89" s="250" t="str">
        <f t="shared" si="13"/>
        <v/>
      </c>
      <c r="P89" s="252"/>
      <c r="Q89" s="250" t="b">
        <v>0</v>
      </c>
    </row>
    <row r="90" spans="1:17" ht="20" customHeight="1">
      <c r="A90" s="250" t="str">
        <f t="shared" si="7"/>
        <v/>
      </c>
      <c r="B90" s="251"/>
      <c r="C90" s="252"/>
      <c r="D90" s="252"/>
      <c r="E90" s="252"/>
      <c r="F90" s="253"/>
      <c r="G90" s="254"/>
      <c r="H90" s="255"/>
      <c r="I90" s="256" t="str">
        <f t="shared" si="8"/>
        <v/>
      </c>
      <c r="J90" s="256" t="str">
        <f t="shared" si="9"/>
        <v/>
      </c>
      <c r="K90" s="256" t="str">
        <f t="shared" si="10"/>
        <v/>
      </c>
      <c r="L90" s="250" t="str">
        <f t="shared" si="11"/>
        <v/>
      </c>
      <c r="M90" s="257"/>
      <c r="N90" s="250" t="str">
        <f t="shared" si="12"/>
        <v/>
      </c>
      <c r="O90" s="250" t="str">
        <f t="shared" si="13"/>
        <v/>
      </c>
      <c r="P90" s="252"/>
      <c r="Q90" s="250" t="b">
        <v>0</v>
      </c>
    </row>
    <row r="91" spans="1:17" ht="20" customHeight="1">
      <c r="A91" s="250" t="str">
        <f t="shared" si="7"/>
        <v/>
      </c>
      <c r="B91" s="251"/>
      <c r="C91" s="252"/>
      <c r="D91" s="252"/>
      <c r="E91" s="252"/>
      <c r="F91" s="253"/>
      <c r="G91" s="254"/>
      <c r="H91" s="255"/>
      <c r="I91" s="256" t="str">
        <f t="shared" si="8"/>
        <v/>
      </c>
      <c r="J91" s="256" t="str">
        <f t="shared" si="9"/>
        <v/>
      </c>
      <c r="K91" s="256" t="str">
        <f t="shared" si="10"/>
        <v/>
      </c>
      <c r="L91" s="250" t="str">
        <f t="shared" si="11"/>
        <v/>
      </c>
      <c r="M91" s="257"/>
      <c r="N91" s="250" t="str">
        <f t="shared" si="12"/>
        <v/>
      </c>
      <c r="O91" s="250" t="str">
        <f t="shared" si="13"/>
        <v/>
      </c>
      <c r="P91" s="252"/>
      <c r="Q91" s="250" t="b">
        <v>0</v>
      </c>
    </row>
    <row r="92" spans="1:17" ht="20" customHeight="1">
      <c r="A92" s="250" t="str">
        <f t="shared" si="7"/>
        <v/>
      </c>
      <c r="B92" s="251"/>
      <c r="C92" s="252"/>
      <c r="D92" s="252"/>
      <c r="E92" s="252"/>
      <c r="F92" s="253"/>
      <c r="G92" s="254"/>
      <c r="H92" s="255"/>
      <c r="I92" s="256" t="str">
        <f t="shared" si="8"/>
        <v/>
      </c>
      <c r="J92" s="256" t="str">
        <f t="shared" si="9"/>
        <v/>
      </c>
      <c r="K92" s="256" t="str">
        <f t="shared" si="10"/>
        <v/>
      </c>
      <c r="L92" s="250" t="str">
        <f t="shared" si="11"/>
        <v/>
      </c>
      <c r="M92" s="257"/>
      <c r="N92" s="250" t="str">
        <f t="shared" si="12"/>
        <v/>
      </c>
      <c r="O92" s="250" t="str">
        <f t="shared" si="13"/>
        <v/>
      </c>
      <c r="P92" s="252"/>
      <c r="Q92" s="250" t="b">
        <v>0</v>
      </c>
    </row>
    <row r="93" spans="1:17" ht="20" customHeight="1">
      <c r="A93" s="250" t="str">
        <f t="shared" si="7"/>
        <v/>
      </c>
      <c r="B93" s="251"/>
      <c r="C93" s="252"/>
      <c r="D93" s="252"/>
      <c r="E93" s="252"/>
      <c r="F93" s="253"/>
      <c r="G93" s="254"/>
      <c r="H93" s="255"/>
      <c r="I93" s="256" t="str">
        <f t="shared" si="8"/>
        <v/>
      </c>
      <c r="J93" s="256" t="str">
        <f t="shared" si="9"/>
        <v/>
      </c>
      <c r="K93" s="256" t="str">
        <f t="shared" si="10"/>
        <v/>
      </c>
      <c r="L93" s="250" t="str">
        <f t="shared" si="11"/>
        <v/>
      </c>
      <c r="M93" s="257"/>
      <c r="N93" s="250" t="str">
        <f t="shared" si="12"/>
        <v/>
      </c>
      <c r="O93" s="250" t="str">
        <f t="shared" si="13"/>
        <v/>
      </c>
      <c r="P93" s="252"/>
      <c r="Q93" s="250" t="b">
        <v>0</v>
      </c>
    </row>
    <row r="94" spans="1:17" ht="20" customHeight="1">
      <c r="A94" s="250" t="str">
        <f t="shared" si="7"/>
        <v/>
      </c>
      <c r="B94" s="251"/>
      <c r="C94" s="252"/>
      <c r="D94" s="252"/>
      <c r="E94" s="252"/>
      <c r="F94" s="253"/>
      <c r="G94" s="254"/>
      <c r="H94" s="255"/>
      <c r="I94" s="256" t="str">
        <f t="shared" si="8"/>
        <v/>
      </c>
      <c r="J94" s="256" t="str">
        <f t="shared" si="9"/>
        <v/>
      </c>
      <c r="K94" s="256" t="str">
        <f t="shared" si="10"/>
        <v/>
      </c>
      <c r="L94" s="250" t="str">
        <f t="shared" si="11"/>
        <v/>
      </c>
      <c r="M94" s="257"/>
      <c r="N94" s="250" t="str">
        <f t="shared" si="12"/>
        <v/>
      </c>
      <c r="O94" s="250" t="str">
        <f t="shared" si="13"/>
        <v/>
      </c>
      <c r="P94" s="252"/>
      <c r="Q94" s="250" t="b">
        <v>0</v>
      </c>
    </row>
    <row r="95" spans="1:17" ht="20" customHeight="1">
      <c r="A95" s="250" t="str">
        <f t="shared" si="7"/>
        <v/>
      </c>
      <c r="B95" s="251"/>
      <c r="C95" s="252"/>
      <c r="D95" s="252"/>
      <c r="E95" s="252"/>
      <c r="F95" s="253"/>
      <c r="G95" s="254"/>
      <c r="H95" s="255"/>
      <c r="I95" s="256" t="str">
        <f t="shared" si="8"/>
        <v/>
      </c>
      <c r="J95" s="256" t="str">
        <f t="shared" si="9"/>
        <v/>
      </c>
      <c r="K95" s="256" t="str">
        <f t="shared" si="10"/>
        <v/>
      </c>
      <c r="L95" s="250" t="str">
        <f t="shared" si="11"/>
        <v/>
      </c>
      <c r="M95" s="257"/>
      <c r="N95" s="250" t="str">
        <f t="shared" si="12"/>
        <v/>
      </c>
      <c r="O95" s="250" t="str">
        <f t="shared" si="13"/>
        <v/>
      </c>
      <c r="P95" s="252"/>
      <c r="Q95" s="250" t="b">
        <v>0</v>
      </c>
    </row>
    <row r="96" spans="1:17" ht="20" customHeight="1">
      <c r="A96" s="250" t="str">
        <f t="shared" si="7"/>
        <v/>
      </c>
      <c r="B96" s="251"/>
      <c r="C96" s="252"/>
      <c r="D96" s="252"/>
      <c r="E96" s="252"/>
      <c r="F96" s="253"/>
      <c r="G96" s="254"/>
      <c r="H96" s="255"/>
      <c r="I96" s="256" t="str">
        <f t="shared" si="8"/>
        <v/>
      </c>
      <c r="J96" s="256" t="str">
        <f t="shared" si="9"/>
        <v/>
      </c>
      <c r="K96" s="256" t="str">
        <f t="shared" si="10"/>
        <v/>
      </c>
      <c r="L96" s="250" t="str">
        <f t="shared" si="11"/>
        <v/>
      </c>
      <c r="M96" s="257"/>
      <c r="N96" s="250" t="str">
        <f t="shared" si="12"/>
        <v/>
      </c>
      <c r="O96" s="250" t="str">
        <f t="shared" si="13"/>
        <v/>
      </c>
      <c r="P96" s="252"/>
      <c r="Q96" s="250" t="b">
        <v>0</v>
      </c>
    </row>
    <row r="97" spans="1:17" ht="20" customHeight="1">
      <c r="A97" s="250" t="str">
        <f t="shared" si="7"/>
        <v/>
      </c>
      <c r="B97" s="251"/>
      <c r="C97" s="252"/>
      <c r="D97" s="252"/>
      <c r="E97" s="252"/>
      <c r="F97" s="253"/>
      <c r="G97" s="254"/>
      <c r="H97" s="255"/>
      <c r="I97" s="256" t="str">
        <f t="shared" si="8"/>
        <v/>
      </c>
      <c r="J97" s="256" t="str">
        <f t="shared" si="9"/>
        <v/>
      </c>
      <c r="K97" s="256" t="str">
        <f t="shared" si="10"/>
        <v/>
      </c>
      <c r="L97" s="250" t="str">
        <f t="shared" si="11"/>
        <v/>
      </c>
      <c r="M97" s="257"/>
      <c r="N97" s="250" t="str">
        <f t="shared" si="12"/>
        <v/>
      </c>
      <c r="O97" s="250" t="str">
        <f t="shared" si="13"/>
        <v/>
      </c>
      <c r="P97" s="252"/>
      <c r="Q97" s="250" t="b">
        <v>0</v>
      </c>
    </row>
    <row r="98" spans="1:17" ht="20" customHeight="1">
      <c r="A98" s="250" t="str">
        <f t="shared" si="7"/>
        <v/>
      </c>
      <c r="B98" s="251"/>
      <c r="C98" s="252"/>
      <c r="D98" s="252"/>
      <c r="E98" s="252"/>
      <c r="F98" s="253"/>
      <c r="G98" s="254"/>
      <c r="H98" s="255"/>
      <c r="I98" s="256" t="str">
        <f t="shared" si="8"/>
        <v/>
      </c>
      <c r="J98" s="256" t="str">
        <f t="shared" si="9"/>
        <v/>
      </c>
      <c r="K98" s="256" t="str">
        <f t="shared" si="10"/>
        <v/>
      </c>
      <c r="L98" s="250" t="str">
        <f t="shared" si="11"/>
        <v/>
      </c>
      <c r="M98" s="257"/>
      <c r="N98" s="250" t="str">
        <f t="shared" si="12"/>
        <v/>
      </c>
      <c r="O98" s="250" t="str">
        <f t="shared" si="13"/>
        <v/>
      </c>
      <c r="P98" s="252"/>
      <c r="Q98" s="250" t="b">
        <v>0</v>
      </c>
    </row>
    <row r="99" spans="1:17" ht="20" customHeight="1">
      <c r="A99" s="250" t="str">
        <f t="shared" si="7"/>
        <v/>
      </c>
      <c r="B99" s="251"/>
      <c r="C99" s="252"/>
      <c r="D99" s="252"/>
      <c r="E99" s="252"/>
      <c r="F99" s="253"/>
      <c r="G99" s="254"/>
      <c r="H99" s="255"/>
      <c r="I99" s="256" t="str">
        <f t="shared" si="8"/>
        <v/>
      </c>
      <c r="J99" s="256" t="str">
        <f t="shared" si="9"/>
        <v/>
      </c>
      <c r="K99" s="256" t="str">
        <f t="shared" si="10"/>
        <v/>
      </c>
      <c r="L99" s="250" t="str">
        <f t="shared" si="11"/>
        <v/>
      </c>
      <c r="M99" s="257"/>
      <c r="N99" s="250" t="str">
        <f t="shared" si="12"/>
        <v/>
      </c>
      <c r="O99" s="250" t="str">
        <f t="shared" si="13"/>
        <v/>
      </c>
      <c r="P99" s="252"/>
      <c r="Q99" s="250" t="b">
        <v>0</v>
      </c>
    </row>
    <row r="100" spans="1:17" ht="20" customHeight="1">
      <c r="A100" s="250" t="str">
        <f t="shared" si="7"/>
        <v/>
      </c>
      <c r="B100" s="251"/>
      <c r="C100" s="252"/>
      <c r="D100" s="252"/>
      <c r="E100" s="252"/>
      <c r="F100" s="253"/>
      <c r="G100" s="254"/>
      <c r="H100" s="255"/>
      <c r="I100" s="256" t="str">
        <f t="shared" si="8"/>
        <v/>
      </c>
      <c r="J100" s="256" t="str">
        <f t="shared" si="9"/>
        <v/>
      </c>
      <c r="K100" s="256" t="str">
        <f t="shared" si="10"/>
        <v/>
      </c>
      <c r="L100" s="250" t="str">
        <f t="shared" si="11"/>
        <v/>
      </c>
      <c r="M100" s="257"/>
      <c r="N100" s="250" t="str">
        <f t="shared" si="12"/>
        <v/>
      </c>
      <c r="O100" s="250" t="str">
        <f t="shared" si="13"/>
        <v/>
      </c>
      <c r="P100" s="252"/>
      <c r="Q100" s="250" t="b">
        <v>0</v>
      </c>
    </row>
    <row r="101" spans="1:17" ht="20" customHeight="1">
      <c r="A101" s="250" t="str">
        <f t="shared" si="7"/>
        <v/>
      </c>
      <c r="B101" s="251"/>
      <c r="C101" s="252"/>
      <c r="D101" s="252"/>
      <c r="E101" s="252"/>
      <c r="F101" s="253"/>
      <c r="G101" s="254"/>
      <c r="H101" s="255"/>
      <c r="I101" s="256" t="str">
        <f t="shared" si="8"/>
        <v/>
      </c>
      <c r="J101" s="256" t="str">
        <f t="shared" si="9"/>
        <v/>
      </c>
      <c r="K101" s="256" t="str">
        <f t="shared" si="10"/>
        <v/>
      </c>
      <c r="L101" s="250" t="str">
        <f t="shared" si="11"/>
        <v/>
      </c>
      <c r="M101" s="257"/>
      <c r="N101" s="250" t="str">
        <f t="shared" si="12"/>
        <v/>
      </c>
      <c r="O101" s="250" t="str">
        <f t="shared" si="13"/>
        <v/>
      </c>
      <c r="P101" s="252"/>
      <c r="Q101" s="250" t="b">
        <v>0</v>
      </c>
    </row>
    <row r="102" spans="1:17" ht="20" customHeight="1">
      <c r="A102" s="250" t="str">
        <f t="shared" si="7"/>
        <v/>
      </c>
      <c r="B102" s="251"/>
      <c r="C102" s="252"/>
      <c r="D102" s="252"/>
      <c r="E102" s="252"/>
      <c r="F102" s="253"/>
      <c r="G102" s="254"/>
      <c r="H102" s="255"/>
      <c r="I102" s="256" t="str">
        <f t="shared" si="8"/>
        <v/>
      </c>
      <c r="J102" s="256" t="str">
        <f t="shared" si="9"/>
        <v/>
      </c>
      <c r="K102" s="256" t="str">
        <f t="shared" si="10"/>
        <v/>
      </c>
      <c r="L102" s="250" t="str">
        <f t="shared" si="11"/>
        <v/>
      </c>
      <c r="M102" s="257"/>
      <c r="N102" s="250" t="str">
        <f t="shared" si="12"/>
        <v/>
      </c>
      <c r="O102" s="250" t="str">
        <f t="shared" si="13"/>
        <v/>
      </c>
      <c r="P102" s="252"/>
      <c r="Q102" s="250" t="b">
        <v>0</v>
      </c>
    </row>
    <row r="103" spans="1:17" ht="20" customHeight="1">
      <c r="A103" s="250" t="str">
        <f t="shared" si="7"/>
        <v/>
      </c>
      <c r="B103" s="251"/>
      <c r="C103" s="252"/>
      <c r="D103" s="252"/>
      <c r="E103" s="252"/>
      <c r="F103" s="253"/>
      <c r="G103" s="254"/>
      <c r="H103" s="255"/>
      <c r="I103" s="256" t="str">
        <f t="shared" si="8"/>
        <v/>
      </c>
      <c r="J103" s="256" t="str">
        <f t="shared" si="9"/>
        <v/>
      </c>
      <c r="K103" s="256" t="str">
        <f t="shared" si="10"/>
        <v/>
      </c>
      <c r="L103" s="250" t="str">
        <f t="shared" si="11"/>
        <v/>
      </c>
      <c r="M103" s="257"/>
      <c r="N103" s="250" t="str">
        <f t="shared" si="12"/>
        <v/>
      </c>
      <c r="O103" s="250" t="str">
        <f t="shared" si="13"/>
        <v/>
      </c>
      <c r="P103" s="252"/>
      <c r="Q103" s="250" t="b">
        <v>0</v>
      </c>
    </row>
    <row r="104" spans="1:17" ht="20" customHeight="1">
      <c r="A104" s="250" t="str">
        <f t="shared" si="7"/>
        <v/>
      </c>
      <c r="B104" s="251"/>
      <c r="C104" s="252"/>
      <c r="D104" s="252"/>
      <c r="E104" s="252"/>
      <c r="F104" s="253"/>
      <c r="G104" s="254"/>
      <c r="H104" s="255"/>
      <c r="I104" s="256" t="str">
        <f t="shared" si="8"/>
        <v/>
      </c>
      <c r="J104" s="256" t="str">
        <f t="shared" si="9"/>
        <v/>
      </c>
      <c r="K104" s="256" t="str">
        <f t="shared" si="10"/>
        <v/>
      </c>
      <c r="L104" s="250" t="str">
        <f t="shared" si="11"/>
        <v/>
      </c>
      <c r="M104" s="257"/>
      <c r="N104" s="250" t="str">
        <f t="shared" si="12"/>
        <v/>
      </c>
      <c r="O104" s="250" t="str">
        <f t="shared" si="13"/>
        <v/>
      </c>
      <c r="P104" s="252"/>
      <c r="Q104" s="250" t="b">
        <v>0</v>
      </c>
    </row>
    <row r="105" spans="1:17" ht="20" customHeight="1">
      <c r="A105" s="250" t="str">
        <f t="shared" si="7"/>
        <v/>
      </c>
      <c r="B105" s="251"/>
      <c r="C105" s="252"/>
      <c r="D105" s="252"/>
      <c r="E105" s="252"/>
      <c r="F105" s="253"/>
      <c r="G105" s="254"/>
      <c r="H105" s="255"/>
      <c r="I105" s="256" t="str">
        <f t="shared" si="8"/>
        <v/>
      </c>
      <c r="J105" s="256" t="str">
        <f t="shared" si="9"/>
        <v/>
      </c>
      <c r="K105" s="256" t="str">
        <f t="shared" si="10"/>
        <v/>
      </c>
      <c r="L105" s="250" t="str">
        <f t="shared" si="11"/>
        <v/>
      </c>
      <c r="M105" s="257"/>
      <c r="N105" s="250" t="str">
        <f t="shared" si="12"/>
        <v/>
      </c>
      <c r="O105" s="250" t="str">
        <f t="shared" si="13"/>
        <v/>
      </c>
      <c r="P105" s="252"/>
      <c r="Q105" s="250" t="b">
        <v>0</v>
      </c>
    </row>
    <row r="106" spans="1:17" ht="20" customHeight="1">
      <c r="A106" s="250" t="str">
        <f t="shared" si="7"/>
        <v/>
      </c>
      <c r="B106" s="251"/>
      <c r="C106" s="252"/>
      <c r="D106" s="252"/>
      <c r="E106" s="252"/>
      <c r="F106" s="253"/>
      <c r="G106" s="254"/>
      <c r="H106" s="255"/>
      <c r="I106" s="256" t="str">
        <f t="shared" si="8"/>
        <v/>
      </c>
      <c r="J106" s="256" t="str">
        <f t="shared" si="9"/>
        <v/>
      </c>
      <c r="K106" s="256" t="str">
        <f t="shared" si="10"/>
        <v/>
      </c>
      <c r="L106" s="250" t="str">
        <f t="shared" si="11"/>
        <v/>
      </c>
      <c r="M106" s="257"/>
      <c r="N106" s="250" t="str">
        <f t="shared" si="12"/>
        <v/>
      </c>
      <c r="O106" s="250" t="str">
        <f t="shared" si="13"/>
        <v/>
      </c>
      <c r="P106" s="252"/>
      <c r="Q106" s="250" t="b">
        <v>0</v>
      </c>
    </row>
    <row r="107" spans="1:17" ht="20" customHeight="1">
      <c r="A107" s="250" t="str">
        <f t="shared" si="7"/>
        <v/>
      </c>
      <c r="B107" s="251"/>
      <c r="C107" s="252"/>
      <c r="D107" s="252"/>
      <c r="E107" s="252"/>
      <c r="F107" s="253"/>
      <c r="G107" s="254"/>
      <c r="H107" s="255"/>
      <c r="I107" s="256" t="str">
        <f t="shared" si="8"/>
        <v/>
      </c>
      <c r="J107" s="256" t="str">
        <f t="shared" si="9"/>
        <v/>
      </c>
      <c r="K107" s="256" t="str">
        <f t="shared" si="10"/>
        <v/>
      </c>
      <c r="L107" s="250" t="str">
        <f t="shared" si="11"/>
        <v/>
      </c>
      <c r="M107" s="257"/>
      <c r="N107" s="250" t="str">
        <f t="shared" si="12"/>
        <v/>
      </c>
      <c r="O107" s="250" t="str">
        <f t="shared" si="13"/>
        <v/>
      </c>
      <c r="P107" s="252"/>
      <c r="Q107" s="250" t="b">
        <v>0</v>
      </c>
    </row>
    <row r="108" spans="1:17" ht="20" customHeight="1">
      <c r="A108" s="250" t="str">
        <f t="shared" si="7"/>
        <v/>
      </c>
      <c r="B108" s="251"/>
      <c r="C108" s="252"/>
      <c r="D108" s="252"/>
      <c r="E108" s="252"/>
      <c r="F108" s="253"/>
      <c r="G108" s="254"/>
      <c r="H108" s="255"/>
      <c r="I108" s="256" t="str">
        <f t="shared" si="8"/>
        <v/>
      </c>
      <c r="J108" s="256" t="str">
        <f t="shared" si="9"/>
        <v/>
      </c>
      <c r="K108" s="256" t="str">
        <f t="shared" si="10"/>
        <v/>
      </c>
      <c r="L108" s="250" t="str">
        <f t="shared" si="11"/>
        <v/>
      </c>
      <c r="M108" s="257"/>
      <c r="N108" s="250" t="str">
        <f t="shared" si="12"/>
        <v/>
      </c>
      <c r="O108" s="250" t="str">
        <f t="shared" si="13"/>
        <v/>
      </c>
      <c r="P108" s="252"/>
      <c r="Q108" s="250" t="b">
        <v>0</v>
      </c>
    </row>
    <row r="109" spans="1:17" ht="20" customHeight="1">
      <c r="A109" s="250" t="str">
        <f t="shared" si="7"/>
        <v/>
      </c>
      <c r="B109" s="251"/>
      <c r="C109" s="252"/>
      <c r="D109" s="252"/>
      <c r="E109" s="252"/>
      <c r="F109" s="253"/>
      <c r="G109" s="254"/>
      <c r="H109" s="255"/>
      <c r="I109" s="256" t="str">
        <f t="shared" si="8"/>
        <v/>
      </c>
      <c r="J109" s="256" t="str">
        <f t="shared" si="9"/>
        <v/>
      </c>
      <c r="K109" s="256" t="str">
        <f t="shared" si="10"/>
        <v/>
      </c>
      <c r="L109" s="250" t="str">
        <f t="shared" si="11"/>
        <v/>
      </c>
      <c r="M109" s="257"/>
      <c r="N109" s="250" t="str">
        <f t="shared" si="12"/>
        <v/>
      </c>
      <c r="O109" s="250" t="str">
        <f t="shared" si="13"/>
        <v/>
      </c>
      <c r="P109" s="252"/>
      <c r="Q109" s="250" t="b">
        <v>0</v>
      </c>
    </row>
    <row r="110" spans="1:17" ht="20" customHeight="1">
      <c r="A110" s="250" t="str">
        <f t="shared" si="7"/>
        <v/>
      </c>
      <c r="B110" s="251"/>
      <c r="C110" s="252"/>
      <c r="D110" s="252"/>
      <c r="E110" s="252"/>
      <c r="F110" s="253"/>
      <c r="G110" s="254"/>
      <c r="H110" s="255"/>
      <c r="I110" s="256" t="str">
        <f t="shared" si="8"/>
        <v/>
      </c>
      <c r="J110" s="256" t="str">
        <f t="shared" si="9"/>
        <v/>
      </c>
      <c r="K110" s="256" t="str">
        <f t="shared" si="10"/>
        <v/>
      </c>
      <c r="L110" s="250" t="str">
        <f t="shared" si="11"/>
        <v/>
      </c>
      <c r="M110" s="257"/>
      <c r="N110" s="250" t="str">
        <f t="shared" si="12"/>
        <v/>
      </c>
      <c r="O110" s="250" t="str">
        <f t="shared" si="13"/>
        <v/>
      </c>
      <c r="P110" s="252"/>
      <c r="Q110" s="250" t="b">
        <v>0</v>
      </c>
    </row>
    <row r="111" spans="1:17" ht="20" customHeight="1">
      <c r="A111" s="250" t="str">
        <f t="shared" si="7"/>
        <v/>
      </c>
      <c r="B111" s="251"/>
      <c r="C111" s="252"/>
      <c r="D111" s="252"/>
      <c r="E111" s="252"/>
      <c r="F111" s="253"/>
      <c r="G111" s="254"/>
      <c r="H111" s="255"/>
      <c r="I111" s="256" t="str">
        <f t="shared" si="8"/>
        <v/>
      </c>
      <c r="J111" s="256" t="str">
        <f t="shared" si="9"/>
        <v/>
      </c>
      <c r="K111" s="256" t="str">
        <f t="shared" si="10"/>
        <v/>
      </c>
      <c r="L111" s="250" t="str">
        <f t="shared" si="11"/>
        <v/>
      </c>
      <c r="M111" s="257"/>
      <c r="N111" s="250" t="str">
        <f t="shared" si="12"/>
        <v/>
      </c>
      <c r="O111" s="250" t="str">
        <f t="shared" si="13"/>
        <v/>
      </c>
      <c r="P111" s="252"/>
      <c r="Q111" s="250" t="b">
        <v>0</v>
      </c>
    </row>
    <row r="112" spans="1:17" ht="20" customHeight="1">
      <c r="A112" s="250" t="str">
        <f t="shared" si="7"/>
        <v/>
      </c>
      <c r="B112" s="251"/>
      <c r="C112" s="252"/>
      <c r="D112" s="252"/>
      <c r="E112" s="252"/>
      <c r="F112" s="253"/>
      <c r="G112" s="254"/>
      <c r="H112" s="255"/>
      <c r="I112" s="256" t="str">
        <f t="shared" si="8"/>
        <v/>
      </c>
      <c r="J112" s="256" t="str">
        <f t="shared" si="9"/>
        <v/>
      </c>
      <c r="K112" s="256" t="str">
        <f t="shared" si="10"/>
        <v/>
      </c>
      <c r="L112" s="250" t="str">
        <f t="shared" si="11"/>
        <v/>
      </c>
      <c r="M112" s="257"/>
      <c r="N112" s="250" t="str">
        <f t="shared" si="12"/>
        <v/>
      </c>
      <c r="O112" s="250" t="str">
        <f t="shared" si="13"/>
        <v/>
      </c>
      <c r="P112" s="252"/>
      <c r="Q112" s="250" t="b">
        <v>0</v>
      </c>
    </row>
    <row r="113" spans="1:17" ht="20" customHeight="1">
      <c r="A113" s="250" t="str">
        <f t="shared" si="7"/>
        <v/>
      </c>
      <c r="B113" s="251"/>
      <c r="C113" s="252"/>
      <c r="D113" s="252"/>
      <c r="E113" s="252"/>
      <c r="F113" s="253"/>
      <c r="G113" s="254"/>
      <c r="H113" s="255"/>
      <c r="I113" s="256" t="str">
        <f t="shared" si="8"/>
        <v/>
      </c>
      <c r="J113" s="256" t="str">
        <f t="shared" si="9"/>
        <v/>
      </c>
      <c r="K113" s="256" t="str">
        <f t="shared" si="10"/>
        <v/>
      </c>
      <c r="L113" s="250" t="str">
        <f t="shared" si="11"/>
        <v/>
      </c>
      <c r="M113" s="257"/>
      <c r="N113" s="250" t="str">
        <f t="shared" si="12"/>
        <v/>
      </c>
      <c r="O113" s="250" t="str">
        <f t="shared" si="13"/>
        <v/>
      </c>
      <c r="P113" s="252"/>
      <c r="Q113" s="250" t="b">
        <v>0</v>
      </c>
    </row>
    <row r="114" spans="1:17" ht="20" customHeight="1">
      <c r="A114" s="250" t="str">
        <f t="shared" si="7"/>
        <v/>
      </c>
      <c r="B114" s="251"/>
      <c r="C114" s="252"/>
      <c r="D114" s="252"/>
      <c r="E114" s="252"/>
      <c r="F114" s="253"/>
      <c r="G114" s="254"/>
      <c r="H114" s="255"/>
      <c r="I114" s="256" t="str">
        <f t="shared" si="8"/>
        <v/>
      </c>
      <c r="J114" s="256" t="str">
        <f t="shared" si="9"/>
        <v/>
      </c>
      <c r="K114" s="256" t="str">
        <f t="shared" si="10"/>
        <v/>
      </c>
      <c r="L114" s="250" t="str">
        <f t="shared" si="11"/>
        <v/>
      </c>
      <c r="M114" s="257"/>
      <c r="N114" s="250" t="str">
        <f t="shared" si="12"/>
        <v/>
      </c>
      <c r="O114" s="250" t="str">
        <f t="shared" si="13"/>
        <v/>
      </c>
      <c r="P114" s="252"/>
      <c r="Q114" s="250" t="b">
        <v>0</v>
      </c>
    </row>
    <row r="115" spans="1:17" ht="20" customHeight="1">
      <c r="A115" s="250" t="str">
        <f t="shared" si="7"/>
        <v/>
      </c>
      <c r="B115" s="251"/>
      <c r="C115" s="252"/>
      <c r="D115" s="252"/>
      <c r="E115" s="252"/>
      <c r="F115" s="253"/>
      <c r="G115" s="254"/>
      <c r="H115" s="255"/>
      <c r="I115" s="256" t="str">
        <f t="shared" si="8"/>
        <v/>
      </c>
      <c r="J115" s="256" t="str">
        <f t="shared" si="9"/>
        <v/>
      </c>
      <c r="K115" s="256" t="str">
        <f t="shared" si="10"/>
        <v/>
      </c>
      <c r="L115" s="250" t="str">
        <f t="shared" si="11"/>
        <v/>
      </c>
      <c r="M115" s="257"/>
      <c r="N115" s="250" t="str">
        <f t="shared" si="12"/>
        <v/>
      </c>
      <c r="O115" s="250" t="str">
        <f t="shared" si="13"/>
        <v/>
      </c>
      <c r="P115" s="252"/>
      <c r="Q115" s="250" t="b">
        <v>0</v>
      </c>
    </row>
    <row r="116" spans="1:17" ht="20" customHeight="1">
      <c r="A116" s="250" t="str">
        <f t="shared" si="7"/>
        <v/>
      </c>
      <c r="B116" s="251"/>
      <c r="C116" s="252"/>
      <c r="D116" s="252"/>
      <c r="E116" s="252"/>
      <c r="F116" s="253"/>
      <c r="G116" s="254"/>
      <c r="H116" s="255"/>
      <c r="I116" s="256" t="str">
        <f t="shared" si="8"/>
        <v/>
      </c>
      <c r="J116" s="256" t="str">
        <f t="shared" si="9"/>
        <v/>
      </c>
      <c r="K116" s="256" t="str">
        <f t="shared" si="10"/>
        <v/>
      </c>
      <c r="L116" s="250" t="str">
        <f t="shared" si="11"/>
        <v/>
      </c>
      <c r="M116" s="257"/>
      <c r="N116" s="250" t="str">
        <f t="shared" si="12"/>
        <v/>
      </c>
      <c r="O116" s="250" t="str">
        <f t="shared" si="13"/>
        <v/>
      </c>
      <c r="P116" s="252"/>
      <c r="Q116" s="250" t="b">
        <v>0</v>
      </c>
    </row>
    <row r="117" spans="1:17" ht="20" customHeight="1">
      <c r="A117" s="250" t="str">
        <f t="shared" si="7"/>
        <v/>
      </c>
      <c r="B117" s="251"/>
      <c r="C117" s="252"/>
      <c r="D117" s="252"/>
      <c r="E117" s="252"/>
      <c r="F117" s="253"/>
      <c r="G117" s="254"/>
      <c r="H117" s="255"/>
      <c r="I117" s="256" t="str">
        <f t="shared" si="8"/>
        <v/>
      </c>
      <c r="J117" s="256" t="str">
        <f t="shared" si="9"/>
        <v/>
      </c>
      <c r="K117" s="256" t="str">
        <f t="shared" si="10"/>
        <v/>
      </c>
      <c r="L117" s="250" t="str">
        <f t="shared" si="11"/>
        <v/>
      </c>
      <c r="M117" s="257"/>
      <c r="N117" s="250" t="str">
        <f t="shared" si="12"/>
        <v/>
      </c>
      <c r="O117" s="250" t="str">
        <f t="shared" si="13"/>
        <v/>
      </c>
      <c r="P117" s="252"/>
      <c r="Q117" s="250" t="b">
        <v>0</v>
      </c>
    </row>
    <row r="118" spans="1:17" ht="20" customHeight="1">
      <c r="A118" s="250" t="str">
        <f t="shared" si="7"/>
        <v/>
      </c>
      <c r="B118" s="251"/>
      <c r="C118" s="252"/>
      <c r="D118" s="252"/>
      <c r="E118" s="252"/>
      <c r="F118" s="253"/>
      <c r="G118" s="254"/>
      <c r="H118" s="255"/>
      <c r="I118" s="256" t="str">
        <f t="shared" si="8"/>
        <v/>
      </c>
      <c r="J118" s="256" t="str">
        <f t="shared" si="9"/>
        <v/>
      </c>
      <c r="K118" s="256" t="str">
        <f t="shared" si="10"/>
        <v/>
      </c>
      <c r="L118" s="250" t="str">
        <f t="shared" si="11"/>
        <v/>
      </c>
      <c r="M118" s="257"/>
      <c r="N118" s="250" t="str">
        <f t="shared" si="12"/>
        <v/>
      </c>
      <c r="O118" s="250" t="str">
        <f t="shared" si="13"/>
        <v/>
      </c>
      <c r="P118" s="252"/>
      <c r="Q118" s="250" t="b">
        <v>0</v>
      </c>
    </row>
    <row r="119" spans="1:17" ht="20" customHeight="1">
      <c r="A119" s="250" t="str">
        <f t="shared" si="7"/>
        <v/>
      </c>
      <c r="B119" s="251"/>
      <c r="C119" s="252"/>
      <c r="D119" s="252"/>
      <c r="E119" s="252"/>
      <c r="F119" s="253"/>
      <c r="G119" s="254"/>
      <c r="H119" s="255"/>
      <c r="I119" s="256" t="str">
        <f t="shared" si="8"/>
        <v/>
      </c>
      <c r="J119" s="256" t="str">
        <f t="shared" si="9"/>
        <v/>
      </c>
      <c r="K119" s="256" t="str">
        <f t="shared" si="10"/>
        <v/>
      </c>
      <c r="L119" s="250" t="str">
        <f t="shared" si="11"/>
        <v/>
      </c>
      <c r="M119" s="257"/>
      <c r="N119" s="250" t="str">
        <f t="shared" si="12"/>
        <v/>
      </c>
      <c r="O119" s="250" t="str">
        <f t="shared" si="13"/>
        <v/>
      </c>
      <c r="P119" s="252"/>
      <c r="Q119" s="250" t="b">
        <v>0</v>
      </c>
    </row>
    <row r="120" spans="1:17" ht="20" customHeight="1">
      <c r="A120" s="250" t="str">
        <f t="shared" si="7"/>
        <v/>
      </c>
      <c r="B120" s="251"/>
      <c r="C120" s="252"/>
      <c r="D120" s="252"/>
      <c r="E120" s="252"/>
      <c r="F120" s="253"/>
      <c r="G120" s="254"/>
      <c r="H120" s="255"/>
      <c r="I120" s="256" t="str">
        <f t="shared" si="8"/>
        <v/>
      </c>
      <c r="J120" s="256" t="str">
        <f t="shared" si="9"/>
        <v/>
      </c>
      <c r="K120" s="256" t="str">
        <f t="shared" si="10"/>
        <v/>
      </c>
      <c r="L120" s="250" t="str">
        <f t="shared" si="11"/>
        <v/>
      </c>
      <c r="M120" s="257"/>
      <c r="N120" s="250" t="str">
        <f t="shared" si="12"/>
        <v/>
      </c>
      <c r="O120" s="250" t="str">
        <f t="shared" si="13"/>
        <v/>
      </c>
      <c r="P120" s="252"/>
      <c r="Q120" s="250" t="b">
        <v>0</v>
      </c>
    </row>
    <row r="121" spans="1:17" ht="20" customHeight="1">
      <c r="A121" s="250" t="str">
        <f t="shared" si="7"/>
        <v/>
      </c>
      <c r="B121" s="251"/>
      <c r="C121" s="252"/>
      <c r="D121" s="252"/>
      <c r="E121" s="252"/>
      <c r="F121" s="253"/>
      <c r="G121" s="254"/>
      <c r="H121" s="255"/>
      <c r="I121" s="256" t="str">
        <f t="shared" si="8"/>
        <v/>
      </c>
      <c r="J121" s="256" t="str">
        <f t="shared" si="9"/>
        <v/>
      </c>
      <c r="K121" s="256" t="str">
        <f t="shared" si="10"/>
        <v/>
      </c>
      <c r="L121" s="250" t="str">
        <f t="shared" si="11"/>
        <v/>
      </c>
      <c r="M121" s="257"/>
      <c r="N121" s="250" t="str">
        <f t="shared" si="12"/>
        <v/>
      </c>
      <c r="O121" s="250" t="str">
        <f t="shared" si="13"/>
        <v/>
      </c>
      <c r="P121" s="252"/>
      <c r="Q121" s="250" t="b">
        <v>0</v>
      </c>
    </row>
    <row r="122" spans="1:17" ht="20" customHeight="1">
      <c r="A122" s="250" t="str">
        <f t="shared" si="7"/>
        <v/>
      </c>
      <c r="B122" s="251"/>
      <c r="C122" s="252"/>
      <c r="D122" s="252"/>
      <c r="E122" s="252"/>
      <c r="F122" s="253"/>
      <c r="G122" s="254"/>
      <c r="H122" s="255"/>
      <c r="I122" s="256" t="str">
        <f t="shared" si="8"/>
        <v/>
      </c>
      <c r="J122" s="256" t="str">
        <f t="shared" si="9"/>
        <v/>
      </c>
      <c r="K122" s="256" t="str">
        <f t="shared" si="10"/>
        <v/>
      </c>
      <c r="L122" s="250" t="str">
        <f t="shared" si="11"/>
        <v/>
      </c>
      <c r="M122" s="257"/>
      <c r="N122" s="250" t="str">
        <f t="shared" si="12"/>
        <v/>
      </c>
      <c r="O122" s="250" t="str">
        <f t="shared" si="13"/>
        <v/>
      </c>
      <c r="P122" s="252"/>
      <c r="Q122" s="250" t="b">
        <v>0</v>
      </c>
    </row>
    <row r="123" spans="1:17" ht="20" customHeight="1">
      <c r="A123" s="250" t="str">
        <f t="shared" si="7"/>
        <v/>
      </c>
      <c r="B123" s="251"/>
      <c r="C123" s="252"/>
      <c r="D123" s="252"/>
      <c r="E123" s="252"/>
      <c r="F123" s="253"/>
      <c r="G123" s="254"/>
      <c r="H123" s="255"/>
      <c r="I123" s="256" t="str">
        <f t="shared" si="8"/>
        <v/>
      </c>
      <c r="J123" s="256" t="str">
        <f t="shared" si="9"/>
        <v/>
      </c>
      <c r="K123" s="256" t="str">
        <f t="shared" si="10"/>
        <v/>
      </c>
      <c r="L123" s="250" t="str">
        <f t="shared" si="11"/>
        <v/>
      </c>
      <c r="M123" s="257"/>
      <c r="N123" s="250" t="str">
        <f t="shared" si="12"/>
        <v/>
      </c>
      <c r="O123" s="250" t="str">
        <f t="shared" si="13"/>
        <v/>
      </c>
      <c r="P123" s="252"/>
      <c r="Q123" s="250" t="b">
        <v>0</v>
      </c>
    </row>
    <row r="124" spans="1:17" ht="20" customHeight="1">
      <c r="A124" s="250" t="str">
        <f t="shared" si="7"/>
        <v/>
      </c>
      <c r="B124" s="251"/>
      <c r="C124" s="252"/>
      <c r="D124" s="252"/>
      <c r="E124" s="252"/>
      <c r="F124" s="253"/>
      <c r="G124" s="254"/>
      <c r="H124" s="255"/>
      <c r="I124" s="256" t="str">
        <f t="shared" si="8"/>
        <v/>
      </c>
      <c r="J124" s="256" t="str">
        <f t="shared" si="9"/>
        <v/>
      </c>
      <c r="K124" s="256" t="str">
        <f t="shared" si="10"/>
        <v/>
      </c>
      <c r="L124" s="250" t="str">
        <f t="shared" si="11"/>
        <v/>
      </c>
      <c r="M124" s="257"/>
      <c r="N124" s="250" t="str">
        <f t="shared" si="12"/>
        <v/>
      </c>
      <c r="O124" s="250" t="str">
        <f t="shared" si="13"/>
        <v/>
      </c>
      <c r="P124" s="252"/>
      <c r="Q124" s="250" t="b">
        <v>0</v>
      </c>
    </row>
    <row r="125" spans="1:17" ht="20" customHeight="1">
      <c r="A125" s="250" t="str">
        <f t="shared" si="7"/>
        <v/>
      </c>
      <c r="B125" s="251"/>
      <c r="C125" s="252"/>
      <c r="D125" s="252"/>
      <c r="E125" s="252"/>
      <c r="F125" s="253"/>
      <c r="G125" s="254"/>
      <c r="H125" s="255"/>
      <c r="I125" s="256" t="str">
        <f t="shared" si="8"/>
        <v/>
      </c>
      <c r="J125" s="256" t="str">
        <f t="shared" si="9"/>
        <v/>
      </c>
      <c r="K125" s="256" t="str">
        <f t="shared" si="10"/>
        <v/>
      </c>
      <c r="L125" s="250" t="str">
        <f t="shared" si="11"/>
        <v/>
      </c>
      <c r="M125" s="257"/>
      <c r="N125" s="250" t="str">
        <f t="shared" si="12"/>
        <v/>
      </c>
      <c r="O125" s="250" t="str">
        <f t="shared" si="13"/>
        <v/>
      </c>
      <c r="P125" s="252"/>
      <c r="Q125" s="250" t="b">
        <v>0</v>
      </c>
    </row>
    <row r="126" spans="1:17" ht="20" customHeight="1">
      <c r="A126" s="250" t="str">
        <f t="shared" si="7"/>
        <v/>
      </c>
      <c r="B126" s="251"/>
      <c r="C126" s="252"/>
      <c r="D126" s="252"/>
      <c r="E126" s="252"/>
      <c r="F126" s="253"/>
      <c r="G126" s="254"/>
      <c r="H126" s="255"/>
      <c r="I126" s="256" t="str">
        <f t="shared" si="8"/>
        <v/>
      </c>
      <c r="J126" s="256" t="str">
        <f t="shared" si="9"/>
        <v/>
      </c>
      <c r="K126" s="256" t="str">
        <f t="shared" si="10"/>
        <v/>
      </c>
      <c r="L126" s="250" t="str">
        <f t="shared" si="11"/>
        <v/>
      </c>
      <c r="M126" s="257"/>
      <c r="N126" s="250" t="str">
        <f t="shared" si="12"/>
        <v/>
      </c>
      <c r="O126" s="250" t="str">
        <f t="shared" si="13"/>
        <v/>
      </c>
      <c r="P126" s="252"/>
      <c r="Q126" s="250" t="b">
        <v>0</v>
      </c>
    </row>
    <row r="127" spans="1:17" ht="20" customHeight="1">
      <c r="A127" s="250" t="str">
        <f t="shared" si="7"/>
        <v/>
      </c>
      <c r="B127" s="251"/>
      <c r="C127" s="252"/>
      <c r="D127" s="252"/>
      <c r="E127" s="252"/>
      <c r="F127" s="253"/>
      <c r="G127" s="254"/>
      <c r="H127" s="255"/>
      <c r="I127" s="256" t="str">
        <f t="shared" si="8"/>
        <v/>
      </c>
      <c r="J127" s="256" t="str">
        <f t="shared" si="9"/>
        <v/>
      </c>
      <c r="K127" s="256" t="str">
        <f t="shared" si="10"/>
        <v/>
      </c>
      <c r="L127" s="250" t="str">
        <f t="shared" si="11"/>
        <v/>
      </c>
      <c r="M127" s="257"/>
      <c r="N127" s="250" t="str">
        <f t="shared" si="12"/>
        <v/>
      </c>
      <c r="O127" s="250" t="str">
        <f t="shared" si="13"/>
        <v/>
      </c>
      <c r="P127" s="252"/>
      <c r="Q127" s="250" t="b">
        <v>0</v>
      </c>
    </row>
    <row r="128" spans="1:17" ht="20" customHeight="1">
      <c r="A128" s="250" t="str">
        <f t="shared" si="7"/>
        <v/>
      </c>
      <c r="B128" s="251"/>
      <c r="C128" s="252"/>
      <c r="D128" s="252"/>
      <c r="E128" s="252"/>
      <c r="F128" s="253"/>
      <c r="G128" s="254"/>
      <c r="H128" s="255"/>
      <c r="I128" s="256" t="str">
        <f t="shared" si="8"/>
        <v/>
      </c>
      <c r="J128" s="256" t="str">
        <f t="shared" si="9"/>
        <v/>
      </c>
      <c r="K128" s="256" t="str">
        <f t="shared" si="10"/>
        <v/>
      </c>
      <c r="L128" s="250" t="str">
        <f t="shared" si="11"/>
        <v/>
      </c>
      <c r="M128" s="257"/>
      <c r="N128" s="250" t="str">
        <f t="shared" si="12"/>
        <v/>
      </c>
      <c r="O128" s="250" t="str">
        <f t="shared" si="13"/>
        <v/>
      </c>
      <c r="P128" s="252"/>
      <c r="Q128" s="250" t="b">
        <v>0</v>
      </c>
    </row>
    <row r="129" spans="1:17" ht="20" customHeight="1">
      <c r="A129" s="250" t="str">
        <f t="shared" si="7"/>
        <v/>
      </c>
      <c r="B129" s="251"/>
      <c r="C129" s="252"/>
      <c r="D129" s="252"/>
      <c r="E129" s="252"/>
      <c r="F129" s="253"/>
      <c r="G129" s="254"/>
      <c r="H129" s="255"/>
      <c r="I129" s="256" t="str">
        <f t="shared" si="8"/>
        <v/>
      </c>
      <c r="J129" s="256" t="str">
        <f t="shared" si="9"/>
        <v/>
      </c>
      <c r="K129" s="256" t="str">
        <f t="shared" si="10"/>
        <v/>
      </c>
      <c r="L129" s="250" t="str">
        <f t="shared" si="11"/>
        <v/>
      </c>
      <c r="M129" s="257"/>
      <c r="N129" s="250" t="str">
        <f t="shared" si="12"/>
        <v/>
      </c>
      <c r="O129" s="250" t="str">
        <f t="shared" si="13"/>
        <v/>
      </c>
      <c r="P129" s="252"/>
      <c r="Q129" s="250" t="b">
        <v>0</v>
      </c>
    </row>
    <row r="130" spans="1:17" ht="20" customHeight="1">
      <c r="A130" s="250" t="str">
        <f t="shared" ref="A130:A193" si="14">IF(C130="","",ROW()-1)</f>
        <v/>
      </c>
      <c r="B130" s="251"/>
      <c r="C130" s="252"/>
      <c r="D130" s="252"/>
      <c r="E130" s="252"/>
      <c r="F130" s="253"/>
      <c r="G130" s="254"/>
      <c r="H130" s="255"/>
      <c r="I130" s="256" t="str">
        <f t="shared" ref="I130:I193" si="15">IF(C130="","",IF(D130="Treasury bond",CommBond,CommETF))</f>
        <v/>
      </c>
      <c r="J130" s="256" t="str">
        <f t="shared" ref="J130:J193" si="16">IF(C130="","",IF(D130="Treasury bond",F130*G130/100,F130*G130))</f>
        <v/>
      </c>
      <c r="K130" s="256" t="str">
        <f t="shared" ref="K130:K193" si="17">IF(C130="","",IF(E130="Buy",-(J130+N(H130)+I130),J130+N(H130)-I130))</f>
        <v/>
      </c>
      <c r="L130" s="250" t="str">
        <f t="shared" ref="L130:L193" si="18">IF(C130="","",IFERROR(VLOOKUP(C130,PlanHoldings,2,FALSE),"Not in plan"))</f>
        <v/>
      </c>
      <c r="M130" s="257"/>
      <c r="N130" s="250" t="str">
        <f t="shared" ref="N130:N193" si="19">IF(M130="","",LEN(M130))</f>
        <v/>
      </c>
      <c r="O130" s="250" t="str">
        <f t="shared" ref="O130:O193" si="20">IF(OR(M130="",NoteLimit=""),"",IF(N130&lt;=NoteLimit,"OK","Too long"))</f>
        <v/>
      </c>
      <c r="P130" s="252"/>
      <c r="Q130" s="250" t="b">
        <v>0</v>
      </c>
    </row>
    <row r="131" spans="1:17" ht="20" customHeight="1">
      <c r="A131" s="250" t="str">
        <f t="shared" si="14"/>
        <v/>
      </c>
      <c r="B131" s="251"/>
      <c r="C131" s="252"/>
      <c r="D131" s="252"/>
      <c r="E131" s="252"/>
      <c r="F131" s="253"/>
      <c r="G131" s="254"/>
      <c r="H131" s="255"/>
      <c r="I131" s="256" t="str">
        <f t="shared" si="15"/>
        <v/>
      </c>
      <c r="J131" s="256" t="str">
        <f t="shared" si="16"/>
        <v/>
      </c>
      <c r="K131" s="256" t="str">
        <f t="shared" si="17"/>
        <v/>
      </c>
      <c r="L131" s="250" t="str">
        <f t="shared" si="18"/>
        <v/>
      </c>
      <c r="M131" s="257"/>
      <c r="N131" s="250" t="str">
        <f t="shared" si="19"/>
        <v/>
      </c>
      <c r="O131" s="250" t="str">
        <f t="shared" si="20"/>
        <v/>
      </c>
      <c r="P131" s="252"/>
      <c r="Q131" s="250" t="b">
        <v>0</v>
      </c>
    </row>
    <row r="132" spans="1:17" ht="20" customHeight="1">
      <c r="A132" s="250" t="str">
        <f t="shared" si="14"/>
        <v/>
      </c>
      <c r="B132" s="251"/>
      <c r="C132" s="252"/>
      <c r="D132" s="252"/>
      <c r="E132" s="252"/>
      <c r="F132" s="253"/>
      <c r="G132" s="254"/>
      <c r="H132" s="255"/>
      <c r="I132" s="256" t="str">
        <f t="shared" si="15"/>
        <v/>
      </c>
      <c r="J132" s="256" t="str">
        <f t="shared" si="16"/>
        <v/>
      </c>
      <c r="K132" s="256" t="str">
        <f t="shared" si="17"/>
        <v/>
      </c>
      <c r="L132" s="250" t="str">
        <f t="shared" si="18"/>
        <v/>
      </c>
      <c r="M132" s="257"/>
      <c r="N132" s="250" t="str">
        <f t="shared" si="19"/>
        <v/>
      </c>
      <c r="O132" s="250" t="str">
        <f t="shared" si="20"/>
        <v/>
      </c>
      <c r="P132" s="252"/>
      <c r="Q132" s="250" t="b">
        <v>0</v>
      </c>
    </row>
    <row r="133" spans="1:17" ht="20" customHeight="1">
      <c r="A133" s="250" t="str">
        <f t="shared" si="14"/>
        <v/>
      </c>
      <c r="B133" s="251"/>
      <c r="C133" s="252"/>
      <c r="D133" s="252"/>
      <c r="E133" s="252"/>
      <c r="F133" s="253"/>
      <c r="G133" s="254"/>
      <c r="H133" s="255"/>
      <c r="I133" s="256" t="str">
        <f t="shared" si="15"/>
        <v/>
      </c>
      <c r="J133" s="256" t="str">
        <f t="shared" si="16"/>
        <v/>
      </c>
      <c r="K133" s="256" t="str">
        <f t="shared" si="17"/>
        <v/>
      </c>
      <c r="L133" s="250" t="str">
        <f t="shared" si="18"/>
        <v/>
      </c>
      <c r="M133" s="257"/>
      <c r="N133" s="250" t="str">
        <f t="shared" si="19"/>
        <v/>
      </c>
      <c r="O133" s="250" t="str">
        <f t="shared" si="20"/>
        <v/>
      </c>
      <c r="P133" s="252"/>
      <c r="Q133" s="250" t="b">
        <v>0</v>
      </c>
    </row>
    <row r="134" spans="1:17" ht="20" customHeight="1">
      <c r="A134" s="250" t="str">
        <f t="shared" si="14"/>
        <v/>
      </c>
      <c r="B134" s="251"/>
      <c r="C134" s="252"/>
      <c r="D134" s="252"/>
      <c r="E134" s="252"/>
      <c r="F134" s="253"/>
      <c r="G134" s="254"/>
      <c r="H134" s="255"/>
      <c r="I134" s="256" t="str">
        <f t="shared" si="15"/>
        <v/>
      </c>
      <c r="J134" s="256" t="str">
        <f t="shared" si="16"/>
        <v/>
      </c>
      <c r="K134" s="256" t="str">
        <f t="shared" si="17"/>
        <v/>
      </c>
      <c r="L134" s="250" t="str">
        <f t="shared" si="18"/>
        <v/>
      </c>
      <c r="M134" s="257"/>
      <c r="N134" s="250" t="str">
        <f t="shared" si="19"/>
        <v/>
      </c>
      <c r="O134" s="250" t="str">
        <f t="shared" si="20"/>
        <v/>
      </c>
      <c r="P134" s="252"/>
      <c r="Q134" s="250" t="b">
        <v>0</v>
      </c>
    </row>
    <row r="135" spans="1:17" ht="20" customHeight="1">
      <c r="A135" s="250" t="str">
        <f t="shared" si="14"/>
        <v/>
      </c>
      <c r="B135" s="251"/>
      <c r="C135" s="252"/>
      <c r="D135" s="252"/>
      <c r="E135" s="252"/>
      <c r="F135" s="253"/>
      <c r="G135" s="254"/>
      <c r="H135" s="255"/>
      <c r="I135" s="256" t="str">
        <f t="shared" si="15"/>
        <v/>
      </c>
      <c r="J135" s="256" t="str">
        <f t="shared" si="16"/>
        <v/>
      </c>
      <c r="K135" s="256" t="str">
        <f t="shared" si="17"/>
        <v/>
      </c>
      <c r="L135" s="250" t="str">
        <f t="shared" si="18"/>
        <v/>
      </c>
      <c r="M135" s="257"/>
      <c r="N135" s="250" t="str">
        <f t="shared" si="19"/>
        <v/>
      </c>
      <c r="O135" s="250" t="str">
        <f t="shared" si="20"/>
        <v/>
      </c>
      <c r="P135" s="252"/>
      <c r="Q135" s="250" t="b">
        <v>0</v>
      </c>
    </row>
    <row r="136" spans="1:17" ht="20" customHeight="1">
      <c r="A136" s="250" t="str">
        <f t="shared" si="14"/>
        <v/>
      </c>
      <c r="B136" s="251"/>
      <c r="C136" s="252"/>
      <c r="D136" s="252"/>
      <c r="E136" s="252"/>
      <c r="F136" s="253"/>
      <c r="G136" s="254"/>
      <c r="H136" s="255"/>
      <c r="I136" s="256" t="str">
        <f t="shared" si="15"/>
        <v/>
      </c>
      <c r="J136" s="256" t="str">
        <f t="shared" si="16"/>
        <v/>
      </c>
      <c r="K136" s="256" t="str">
        <f t="shared" si="17"/>
        <v/>
      </c>
      <c r="L136" s="250" t="str">
        <f t="shared" si="18"/>
        <v/>
      </c>
      <c r="M136" s="257"/>
      <c r="N136" s="250" t="str">
        <f t="shared" si="19"/>
        <v/>
      </c>
      <c r="O136" s="250" t="str">
        <f t="shared" si="20"/>
        <v/>
      </c>
      <c r="P136" s="252"/>
      <c r="Q136" s="250" t="b">
        <v>0</v>
      </c>
    </row>
    <row r="137" spans="1:17" ht="20" customHeight="1">
      <c r="A137" s="250" t="str">
        <f t="shared" si="14"/>
        <v/>
      </c>
      <c r="B137" s="251"/>
      <c r="C137" s="252"/>
      <c r="D137" s="252"/>
      <c r="E137" s="252"/>
      <c r="F137" s="253"/>
      <c r="G137" s="254"/>
      <c r="H137" s="255"/>
      <c r="I137" s="256" t="str">
        <f t="shared" si="15"/>
        <v/>
      </c>
      <c r="J137" s="256" t="str">
        <f t="shared" si="16"/>
        <v/>
      </c>
      <c r="K137" s="256" t="str">
        <f t="shared" si="17"/>
        <v/>
      </c>
      <c r="L137" s="250" t="str">
        <f t="shared" si="18"/>
        <v/>
      </c>
      <c r="M137" s="257"/>
      <c r="N137" s="250" t="str">
        <f t="shared" si="19"/>
        <v/>
      </c>
      <c r="O137" s="250" t="str">
        <f t="shared" si="20"/>
        <v/>
      </c>
      <c r="P137" s="252"/>
      <c r="Q137" s="250" t="b">
        <v>0</v>
      </c>
    </row>
    <row r="138" spans="1:17" ht="20" customHeight="1">
      <c r="A138" s="250" t="str">
        <f t="shared" si="14"/>
        <v/>
      </c>
      <c r="B138" s="251"/>
      <c r="C138" s="252"/>
      <c r="D138" s="252"/>
      <c r="E138" s="252"/>
      <c r="F138" s="253"/>
      <c r="G138" s="254"/>
      <c r="H138" s="255"/>
      <c r="I138" s="256" t="str">
        <f t="shared" si="15"/>
        <v/>
      </c>
      <c r="J138" s="256" t="str">
        <f t="shared" si="16"/>
        <v/>
      </c>
      <c r="K138" s="256" t="str">
        <f t="shared" si="17"/>
        <v/>
      </c>
      <c r="L138" s="250" t="str">
        <f t="shared" si="18"/>
        <v/>
      </c>
      <c r="M138" s="257"/>
      <c r="N138" s="250" t="str">
        <f t="shared" si="19"/>
        <v/>
      </c>
      <c r="O138" s="250" t="str">
        <f t="shared" si="20"/>
        <v/>
      </c>
      <c r="P138" s="252"/>
      <c r="Q138" s="250" t="b">
        <v>0</v>
      </c>
    </row>
    <row r="139" spans="1:17" ht="20" customHeight="1">
      <c r="A139" s="250" t="str">
        <f t="shared" si="14"/>
        <v/>
      </c>
      <c r="B139" s="251"/>
      <c r="C139" s="252"/>
      <c r="D139" s="252"/>
      <c r="E139" s="252"/>
      <c r="F139" s="253"/>
      <c r="G139" s="254"/>
      <c r="H139" s="255"/>
      <c r="I139" s="256" t="str">
        <f t="shared" si="15"/>
        <v/>
      </c>
      <c r="J139" s="256" t="str">
        <f t="shared" si="16"/>
        <v/>
      </c>
      <c r="K139" s="256" t="str">
        <f t="shared" si="17"/>
        <v/>
      </c>
      <c r="L139" s="250" t="str">
        <f t="shared" si="18"/>
        <v/>
      </c>
      <c r="M139" s="257"/>
      <c r="N139" s="250" t="str">
        <f t="shared" si="19"/>
        <v/>
      </c>
      <c r="O139" s="250" t="str">
        <f t="shared" si="20"/>
        <v/>
      </c>
      <c r="P139" s="252"/>
      <c r="Q139" s="250" t="b">
        <v>0</v>
      </c>
    </row>
    <row r="140" spans="1:17" ht="20" customHeight="1">
      <c r="A140" s="250" t="str">
        <f t="shared" si="14"/>
        <v/>
      </c>
      <c r="B140" s="251"/>
      <c r="C140" s="252"/>
      <c r="D140" s="252"/>
      <c r="E140" s="252"/>
      <c r="F140" s="253"/>
      <c r="G140" s="254"/>
      <c r="H140" s="255"/>
      <c r="I140" s="256" t="str">
        <f t="shared" si="15"/>
        <v/>
      </c>
      <c r="J140" s="256" t="str">
        <f t="shared" si="16"/>
        <v/>
      </c>
      <c r="K140" s="256" t="str">
        <f t="shared" si="17"/>
        <v/>
      </c>
      <c r="L140" s="250" t="str">
        <f t="shared" si="18"/>
        <v/>
      </c>
      <c r="M140" s="257"/>
      <c r="N140" s="250" t="str">
        <f t="shared" si="19"/>
        <v/>
      </c>
      <c r="O140" s="250" t="str">
        <f t="shared" si="20"/>
        <v/>
      </c>
      <c r="P140" s="252"/>
      <c r="Q140" s="250" t="b">
        <v>0</v>
      </c>
    </row>
    <row r="141" spans="1:17" ht="20" customHeight="1">
      <c r="A141" s="250" t="str">
        <f t="shared" si="14"/>
        <v/>
      </c>
      <c r="B141" s="251"/>
      <c r="C141" s="252"/>
      <c r="D141" s="252"/>
      <c r="E141" s="252"/>
      <c r="F141" s="253"/>
      <c r="G141" s="254"/>
      <c r="H141" s="255"/>
      <c r="I141" s="256" t="str">
        <f t="shared" si="15"/>
        <v/>
      </c>
      <c r="J141" s="256" t="str">
        <f t="shared" si="16"/>
        <v/>
      </c>
      <c r="K141" s="256" t="str">
        <f t="shared" si="17"/>
        <v/>
      </c>
      <c r="L141" s="250" t="str">
        <f t="shared" si="18"/>
        <v/>
      </c>
      <c r="M141" s="257"/>
      <c r="N141" s="250" t="str">
        <f t="shared" si="19"/>
        <v/>
      </c>
      <c r="O141" s="250" t="str">
        <f t="shared" si="20"/>
        <v/>
      </c>
      <c r="P141" s="252"/>
      <c r="Q141" s="250" t="b">
        <v>0</v>
      </c>
    </row>
    <row r="142" spans="1:17" ht="20" customHeight="1">
      <c r="A142" s="250" t="str">
        <f t="shared" si="14"/>
        <v/>
      </c>
      <c r="B142" s="251"/>
      <c r="C142" s="252"/>
      <c r="D142" s="252"/>
      <c r="E142" s="252"/>
      <c r="F142" s="253"/>
      <c r="G142" s="254"/>
      <c r="H142" s="255"/>
      <c r="I142" s="256" t="str">
        <f t="shared" si="15"/>
        <v/>
      </c>
      <c r="J142" s="256" t="str">
        <f t="shared" si="16"/>
        <v/>
      </c>
      <c r="K142" s="256" t="str">
        <f t="shared" si="17"/>
        <v/>
      </c>
      <c r="L142" s="250" t="str">
        <f t="shared" si="18"/>
        <v/>
      </c>
      <c r="M142" s="257"/>
      <c r="N142" s="250" t="str">
        <f t="shared" si="19"/>
        <v/>
      </c>
      <c r="O142" s="250" t="str">
        <f t="shared" si="20"/>
        <v/>
      </c>
      <c r="P142" s="252"/>
      <c r="Q142" s="250" t="b">
        <v>0</v>
      </c>
    </row>
    <row r="143" spans="1:17" ht="20" customHeight="1">
      <c r="A143" s="250" t="str">
        <f t="shared" si="14"/>
        <v/>
      </c>
      <c r="B143" s="251"/>
      <c r="C143" s="252"/>
      <c r="D143" s="252"/>
      <c r="E143" s="252"/>
      <c r="F143" s="253"/>
      <c r="G143" s="254"/>
      <c r="H143" s="255"/>
      <c r="I143" s="256" t="str">
        <f t="shared" si="15"/>
        <v/>
      </c>
      <c r="J143" s="256" t="str">
        <f t="shared" si="16"/>
        <v/>
      </c>
      <c r="K143" s="256" t="str">
        <f t="shared" si="17"/>
        <v/>
      </c>
      <c r="L143" s="250" t="str">
        <f t="shared" si="18"/>
        <v/>
      </c>
      <c r="M143" s="257"/>
      <c r="N143" s="250" t="str">
        <f t="shared" si="19"/>
        <v/>
      </c>
      <c r="O143" s="250" t="str">
        <f t="shared" si="20"/>
        <v/>
      </c>
      <c r="P143" s="252"/>
      <c r="Q143" s="250" t="b">
        <v>0</v>
      </c>
    </row>
    <row r="144" spans="1:17" ht="20" customHeight="1">
      <c r="A144" s="250" t="str">
        <f t="shared" si="14"/>
        <v/>
      </c>
      <c r="B144" s="251"/>
      <c r="C144" s="252"/>
      <c r="D144" s="252"/>
      <c r="E144" s="252"/>
      <c r="F144" s="253"/>
      <c r="G144" s="254"/>
      <c r="H144" s="255"/>
      <c r="I144" s="256" t="str">
        <f t="shared" si="15"/>
        <v/>
      </c>
      <c r="J144" s="256" t="str">
        <f t="shared" si="16"/>
        <v/>
      </c>
      <c r="K144" s="256" t="str">
        <f t="shared" si="17"/>
        <v/>
      </c>
      <c r="L144" s="250" t="str">
        <f t="shared" si="18"/>
        <v/>
      </c>
      <c r="M144" s="257"/>
      <c r="N144" s="250" t="str">
        <f t="shared" si="19"/>
        <v/>
      </c>
      <c r="O144" s="250" t="str">
        <f t="shared" si="20"/>
        <v/>
      </c>
      <c r="P144" s="252"/>
      <c r="Q144" s="250" t="b">
        <v>0</v>
      </c>
    </row>
    <row r="145" spans="1:17" ht="20" customHeight="1">
      <c r="A145" s="250" t="str">
        <f t="shared" si="14"/>
        <v/>
      </c>
      <c r="B145" s="251"/>
      <c r="C145" s="252"/>
      <c r="D145" s="252"/>
      <c r="E145" s="252"/>
      <c r="F145" s="253"/>
      <c r="G145" s="254"/>
      <c r="H145" s="255"/>
      <c r="I145" s="256" t="str">
        <f t="shared" si="15"/>
        <v/>
      </c>
      <c r="J145" s="256" t="str">
        <f t="shared" si="16"/>
        <v/>
      </c>
      <c r="K145" s="256" t="str">
        <f t="shared" si="17"/>
        <v/>
      </c>
      <c r="L145" s="250" t="str">
        <f t="shared" si="18"/>
        <v/>
      </c>
      <c r="M145" s="257"/>
      <c r="N145" s="250" t="str">
        <f t="shared" si="19"/>
        <v/>
      </c>
      <c r="O145" s="250" t="str">
        <f t="shared" si="20"/>
        <v/>
      </c>
      <c r="P145" s="252"/>
      <c r="Q145" s="250" t="b">
        <v>0</v>
      </c>
    </row>
    <row r="146" spans="1:17" ht="20" customHeight="1">
      <c r="A146" s="250" t="str">
        <f t="shared" si="14"/>
        <v/>
      </c>
      <c r="B146" s="251"/>
      <c r="C146" s="252"/>
      <c r="D146" s="252"/>
      <c r="E146" s="252"/>
      <c r="F146" s="253"/>
      <c r="G146" s="254"/>
      <c r="H146" s="255"/>
      <c r="I146" s="256" t="str">
        <f t="shared" si="15"/>
        <v/>
      </c>
      <c r="J146" s="256" t="str">
        <f t="shared" si="16"/>
        <v/>
      </c>
      <c r="K146" s="256" t="str">
        <f t="shared" si="17"/>
        <v/>
      </c>
      <c r="L146" s="250" t="str">
        <f t="shared" si="18"/>
        <v/>
      </c>
      <c r="M146" s="257"/>
      <c r="N146" s="250" t="str">
        <f t="shared" si="19"/>
        <v/>
      </c>
      <c r="O146" s="250" t="str">
        <f t="shared" si="20"/>
        <v/>
      </c>
      <c r="P146" s="252"/>
      <c r="Q146" s="250" t="b">
        <v>0</v>
      </c>
    </row>
    <row r="147" spans="1:17" ht="20" customHeight="1">
      <c r="A147" s="250" t="str">
        <f t="shared" si="14"/>
        <v/>
      </c>
      <c r="B147" s="251"/>
      <c r="C147" s="252"/>
      <c r="D147" s="252"/>
      <c r="E147" s="252"/>
      <c r="F147" s="253"/>
      <c r="G147" s="254"/>
      <c r="H147" s="255"/>
      <c r="I147" s="256" t="str">
        <f t="shared" si="15"/>
        <v/>
      </c>
      <c r="J147" s="256" t="str">
        <f t="shared" si="16"/>
        <v/>
      </c>
      <c r="K147" s="256" t="str">
        <f t="shared" si="17"/>
        <v/>
      </c>
      <c r="L147" s="250" t="str">
        <f t="shared" si="18"/>
        <v/>
      </c>
      <c r="M147" s="257"/>
      <c r="N147" s="250" t="str">
        <f t="shared" si="19"/>
        <v/>
      </c>
      <c r="O147" s="250" t="str">
        <f t="shared" si="20"/>
        <v/>
      </c>
      <c r="P147" s="252"/>
      <c r="Q147" s="250" t="b">
        <v>0</v>
      </c>
    </row>
    <row r="148" spans="1:17" ht="20" customHeight="1">
      <c r="A148" s="250" t="str">
        <f t="shared" si="14"/>
        <v/>
      </c>
      <c r="B148" s="251"/>
      <c r="C148" s="252"/>
      <c r="D148" s="252"/>
      <c r="E148" s="252"/>
      <c r="F148" s="253"/>
      <c r="G148" s="254"/>
      <c r="H148" s="255"/>
      <c r="I148" s="256" t="str">
        <f t="shared" si="15"/>
        <v/>
      </c>
      <c r="J148" s="256" t="str">
        <f t="shared" si="16"/>
        <v/>
      </c>
      <c r="K148" s="256" t="str">
        <f t="shared" si="17"/>
        <v/>
      </c>
      <c r="L148" s="250" t="str">
        <f t="shared" si="18"/>
        <v/>
      </c>
      <c r="M148" s="257"/>
      <c r="N148" s="250" t="str">
        <f t="shared" si="19"/>
        <v/>
      </c>
      <c r="O148" s="250" t="str">
        <f t="shared" si="20"/>
        <v/>
      </c>
      <c r="P148" s="252"/>
      <c r="Q148" s="250" t="b">
        <v>0</v>
      </c>
    </row>
    <row r="149" spans="1:17" ht="20" customHeight="1">
      <c r="A149" s="250" t="str">
        <f t="shared" si="14"/>
        <v/>
      </c>
      <c r="B149" s="251"/>
      <c r="C149" s="252"/>
      <c r="D149" s="252"/>
      <c r="E149" s="252"/>
      <c r="F149" s="253"/>
      <c r="G149" s="254"/>
      <c r="H149" s="255"/>
      <c r="I149" s="256" t="str">
        <f t="shared" si="15"/>
        <v/>
      </c>
      <c r="J149" s="256" t="str">
        <f t="shared" si="16"/>
        <v/>
      </c>
      <c r="K149" s="256" t="str">
        <f t="shared" si="17"/>
        <v/>
      </c>
      <c r="L149" s="250" t="str">
        <f t="shared" si="18"/>
        <v/>
      </c>
      <c r="M149" s="257"/>
      <c r="N149" s="250" t="str">
        <f t="shared" si="19"/>
        <v/>
      </c>
      <c r="O149" s="250" t="str">
        <f t="shared" si="20"/>
        <v/>
      </c>
      <c r="P149" s="252"/>
      <c r="Q149" s="250" t="b">
        <v>0</v>
      </c>
    </row>
    <row r="150" spans="1:17" ht="20" customHeight="1">
      <c r="A150" s="250" t="str">
        <f t="shared" si="14"/>
        <v/>
      </c>
      <c r="B150" s="251"/>
      <c r="C150" s="252"/>
      <c r="D150" s="252"/>
      <c r="E150" s="252"/>
      <c r="F150" s="253"/>
      <c r="G150" s="254"/>
      <c r="H150" s="255"/>
      <c r="I150" s="256" t="str">
        <f t="shared" si="15"/>
        <v/>
      </c>
      <c r="J150" s="256" t="str">
        <f t="shared" si="16"/>
        <v/>
      </c>
      <c r="K150" s="256" t="str">
        <f t="shared" si="17"/>
        <v/>
      </c>
      <c r="L150" s="250" t="str">
        <f t="shared" si="18"/>
        <v/>
      </c>
      <c r="M150" s="257"/>
      <c r="N150" s="250" t="str">
        <f t="shared" si="19"/>
        <v/>
      </c>
      <c r="O150" s="250" t="str">
        <f t="shared" si="20"/>
        <v/>
      </c>
      <c r="P150" s="252"/>
      <c r="Q150" s="250" t="b">
        <v>0</v>
      </c>
    </row>
    <row r="151" spans="1:17" ht="20" customHeight="1">
      <c r="A151" s="250" t="str">
        <f t="shared" si="14"/>
        <v/>
      </c>
      <c r="B151" s="251"/>
      <c r="C151" s="252"/>
      <c r="D151" s="252"/>
      <c r="E151" s="252"/>
      <c r="F151" s="253"/>
      <c r="G151" s="254"/>
      <c r="H151" s="255"/>
      <c r="I151" s="256" t="str">
        <f t="shared" si="15"/>
        <v/>
      </c>
      <c r="J151" s="256" t="str">
        <f t="shared" si="16"/>
        <v/>
      </c>
      <c r="K151" s="256" t="str">
        <f t="shared" si="17"/>
        <v/>
      </c>
      <c r="L151" s="250" t="str">
        <f t="shared" si="18"/>
        <v/>
      </c>
      <c r="M151" s="257"/>
      <c r="N151" s="250" t="str">
        <f t="shared" si="19"/>
        <v/>
      </c>
      <c r="O151" s="250" t="str">
        <f t="shared" si="20"/>
        <v/>
      </c>
      <c r="P151" s="252"/>
      <c r="Q151" s="250" t="b">
        <v>0</v>
      </c>
    </row>
    <row r="152" spans="1:17" ht="20" customHeight="1">
      <c r="A152" s="250" t="str">
        <f t="shared" si="14"/>
        <v/>
      </c>
      <c r="B152" s="251"/>
      <c r="C152" s="252"/>
      <c r="D152" s="252"/>
      <c r="E152" s="252"/>
      <c r="F152" s="253"/>
      <c r="G152" s="254"/>
      <c r="H152" s="255"/>
      <c r="I152" s="256" t="str">
        <f t="shared" si="15"/>
        <v/>
      </c>
      <c r="J152" s="256" t="str">
        <f t="shared" si="16"/>
        <v/>
      </c>
      <c r="K152" s="256" t="str">
        <f t="shared" si="17"/>
        <v/>
      </c>
      <c r="L152" s="250" t="str">
        <f t="shared" si="18"/>
        <v/>
      </c>
      <c r="M152" s="257"/>
      <c r="N152" s="250" t="str">
        <f t="shared" si="19"/>
        <v/>
      </c>
      <c r="O152" s="250" t="str">
        <f t="shared" si="20"/>
        <v/>
      </c>
      <c r="P152" s="252"/>
      <c r="Q152" s="250" t="b">
        <v>0</v>
      </c>
    </row>
    <row r="153" spans="1:17" ht="20" customHeight="1">
      <c r="A153" s="250" t="str">
        <f t="shared" si="14"/>
        <v/>
      </c>
      <c r="B153" s="251"/>
      <c r="C153" s="252"/>
      <c r="D153" s="252"/>
      <c r="E153" s="252"/>
      <c r="F153" s="253"/>
      <c r="G153" s="254"/>
      <c r="H153" s="255"/>
      <c r="I153" s="256" t="str">
        <f t="shared" si="15"/>
        <v/>
      </c>
      <c r="J153" s="256" t="str">
        <f t="shared" si="16"/>
        <v/>
      </c>
      <c r="K153" s="256" t="str">
        <f t="shared" si="17"/>
        <v/>
      </c>
      <c r="L153" s="250" t="str">
        <f t="shared" si="18"/>
        <v/>
      </c>
      <c r="M153" s="257"/>
      <c r="N153" s="250" t="str">
        <f t="shared" si="19"/>
        <v/>
      </c>
      <c r="O153" s="250" t="str">
        <f t="shared" si="20"/>
        <v/>
      </c>
      <c r="P153" s="252"/>
      <c r="Q153" s="250" t="b">
        <v>0</v>
      </c>
    </row>
    <row r="154" spans="1:17" ht="20" customHeight="1">
      <c r="A154" s="250" t="str">
        <f t="shared" si="14"/>
        <v/>
      </c>
      <c r="B154" s="251"/>
      <c r="C154" s="252"/>
      <c r="D154" s="252"/>
      <c r="E154" s="252"/>
      <c r="F154" s="253"/>
      <c r="G154" s="254"/>
      <c r="H154" s="255"/>
      <c r="I154" s="256" t="str">
        <f t="shared" si="15"/>
        <v/>
      </c>
      <c r="J154" s="256" t="str">
        <f t="shared" si="16"/>
        <v/>
      </c>
      <c r="K154" s="256" t="str">
        <f t="shared" si="17"/>
        <v/>
      </c>
      <c r="L154" s="250" t="str">
        <f t="shared" si="18"/>
        <v/>
      </c>
      <c r="M154" s="257"/>
      <c r="N154" s="250" t="str">
        <f t="shared" si="19"/>
        <v/>
      </c>
      <c r="O154" s="250" t="str">
        <f t="shared" si="20"/>
        <v/>
      </c>
      <c r="P154" s="252"/>
      <c r="Q154" s="250" t="b">
        <v>0</v>
      </c>
    </row>
    <row r="155" spans="1:17" ht="20" customHeight="1">
      <c r="A155" s="250" t="str">
        <f t="shared" si="14"/>
        <v/>
      </c>
      <c r="B155" s="251"/>
      <c r="C155" s="252"/>
      <c r="D155" s="252"/>
      <c r="E155" s="252"/>
      <c r="F155" s="253"/>
      <c r="G155" s="254"/>
      <c r="H155" s="255"/>
      <c r="I155" s="256" t="str">
        <f t="shared" si="15"/>
        <v/>
      </c>
      <c r="J155" s="256" t="str">
        <f t="shared" si="16"/>
        <v/>
      </c>
      <c r="K155" s="256" t="str">
        <f t="shared" si="17"/>
        <v/>
      </c>
      <c r="L155" s="250" t="str">
        <f t="shared" si="18"/>
        <v/>
      </c>
      <c r="M155" s="257"/>
      <c r="N155" s="250" t="str">
        <f t="shared" si="19"/>
        <v/>
      </c>
      <c r="O155" s="250" t="str">
        <f t="shared" si="20"/>
        <v/>
      </c>
      <c r="P155" s="252"/>
      <c r="Q155" s="250" t="b">
        <v>0</v>
      </c>
    </row>
    <row r="156" spans="1:17" ht="20" customHeight="1">
      <c r="A156" s="250" t="str">
        <f t="shared" si="14"/>
        <v/>
      </c>
      <c r="B156" s="251"/>
      <c r="C156" s="252"/>
      <c r="D156" s="252"/>
      <c r="E156" s="252"/>
      <c r="F156" s="253"/>
      <c r="G156" s="254"/>
      <c r="H156" s="255"/>
      <c r="I156" s="256" t="str">
        <f t="shared" si="15"/>
        <v/>
      </c>
      <c r="J156" s="256" t="str">
        <f t="shared" si="16"/>
        <v/>
      </c>
      <c r="K156" s="256" t="str">
        <f t="shared" si="17"/>
        <v/>
      </c>
      <c r="L156" s="250" t="str">
        <f t="shared" si="18"/>
        <v/>
      </c>
      <c r="M156" s="257"/>
      <c r="N156" s="250" t="str">
        <f t="shared" si="19"/>
        <v/>
      </c>
      <c r="O156" s="250" t="str">
        <f t="shared" si="20"/>
        <v/>
      </c>
      <c r="P156" s="252"/>
      <c r="Q156" s="250" t="b">
        <v>0</v>
      </c>
    </row>
    <row r="157" spans="1:17" ht="20" customHeight="1">
      <c r="A157" s="250" t="str">
        <f t="shared" si="14"/>
        <v/>
      </c>
      <c r="B157" s="251"/>
      <c r="C157" s="252"/>
      <c r="D157" s="252"/>
      <c r="E157" s="252"/>
      <c r="F157" s="253"/>
      <c r="G157" s="254"/>
      <c r="H157" s="255"/>
      <c r="I157" s="256" t="str">
        <f t="shared" si="15"/>
        <v/>
      </c>
      <c r="J157" s="256" t="str">
        <f t="shared" si="16"/>
        <v/>
      </c>
      <c r="K157" s="256" t="str">
        <f t="shared" si="17"/>
        <v/>
      </c>
      <c r="L157" s="250" t="str">
        <f t="shared" si="18"/>
        <v/>
      </c>
      <c r="M157" s="257"/>
      <c r="N157" s="250" t="str">
        <f t="shared" si="19"/>
        <v/>
      </c>
      <c r="O157" s="250" t="str">
        <f t="shared" si="20"/>
        <v/>
      </c>
      <c r="P157" s="252"/>
      <c r="Q157" s="250" t="b">
        <v>0</v>
      </c>
    </row>
    <row r="158" spans="1:17" ht="20" customHeight="1">
      <c r="A158" s="250" t="str">
        <f t="shared" si="14"/>
        <v/>
      </c>
      <c r="B158" s="251"/>
      <c r="C158" s="252"/>
      <c r="D158" s="252"/>
      <c r="E158" s="252"/>
      <c r="F158" s="253"/>
      <c r="G158" s="254"/>
      <c r="H158" s="255"/>
      <c r="I158" s="256" t="str">
        <f t="shared" si="15"/>
        <v/>
      </c>
      <c r="J158" s="256" t="str">
        <f t="shared" si="16"/>
        <v/>
      </c>
      <c r="K158" s="256" t="str">
        <f t="shared" si="17"/>
        <v/>
      </c>
      <c r="L158" s="250" t="str">
        <f t="shared" si="18"/>
        <v/>
      </c>
      <c r="M158" s="257"/>
      <c r="N158" s="250" t="str">
        <f t="shared" si="19"/>
        <v/>
      </c>
      <c r="O158" s="250" t="str">
        <f t="shared" si="20"/>
        <v/>
      </c>
      <c r="P158" s="252"/>
      <c r="Q158" s="250" t="b">
        <v>0</v>
      </c>
    </row>
    <row r="159" spans="1:17" ht="20" customHeight="1">
      <c r="A159" s="250" t="str">
        <f t="shared" si="14"/>
        <v/>
      </c>
      <c r="B159" s="251"/>
      <c r="C159" s="252"/>
      <c r="D159" s="252"/>
      <c r="E159" s="252"/>
      <c r="F159" s="253"/>
      <c r="G159" s="254"/>
      <c r="H159" s="255"/>
      <c r="I159" s="256" t="str">
        <f t="shared" si="15"/>
        <v/>
      </c>
      <c r="J159" s="256" t="str">
        <f t="shared" si="16"/>
        <v/>
      </c>
      <c r="K159" s="256" t="str">
        <f t="shared" si="17"/>
        <v/>
      </c>
      <c r="L159" s="250" t="str">
        <f t="shared" si="18"/>
        <v/>
      </c>
      <c r="M159" s="257"/>
      <c r="N159" s="250" t="str">
        <f t="shared" si="19"/>
        <v/>
      </c>
      <c r="O159" s="250" t="str">
        <f t="shared" si="20"/>
        <v/>
      </c>
      <c r="P159" s="252"/>
      <c r="Q159" s="250" t="b">
        <v>0</v>
      </c>
    </row>
    <row r="160" spans="1:17" ht="20" customHeight="1">
      <c r="A160" s="250" t="str">
        <f t="shared" si="14"/>
        <v/>
      </c>
      <c r="B160" s="251"/>
      <c r="C160" s="252"/>
      <c r="D160" s="252"/>
      <c r="E160" s="252"/>
      <c r="F160" s="253"/>
      <c r="G160" s="254"/>
      <c r="H160" s="255"/>
      <c r="I160" s="256" t="str">
        <f t="shared" si="15"/>
        <v/>
      </c>
      <c r="J160" s="256" t="str">
        <f t="shared" si="16"/>
        <v/>
      </c>
      <c r="K160" s="256" t="str">
        <f t="shared" si="17"/>
        <v/>
      </c>
      <c r="L160" s="250" t="str">
        <f t="shared" si="18"/>
        <v/>
      </c>
      <c r="M160" s="257"/>
      <c r="N160" s="250" t="str">
        <f t="shared" si="19"/>
        <v/>
      </c>
      <c r="O160" s="250" t="str">
        <f t="shared" si="20"/>
        <v/>
      </c>
      <c r="P160" s="252"/>
      <c r="Q160" s="250" t="b">
        <v>0</v>
      </c>
    </row>
    <row r="161" spans="1:17" ht="20" customHeight="1">
      <c r="A161" s="250" t="str">
        <f t="shared" si="14"/>
        <v/>
      </c>
      <c r="B161" s="251"/>
      <c r="C161" s="252"/>
      <c r="D161" s="252"/>
      <c r="E161" s="252"/>
      <c r="F161" s="253"/>
      <c r="G161" s="254"/>
      <c r="H161" s="255"/>
      <c r="I161" s="256" t="str">
        <f t="shared" si="15"/>
        <v/>
      </c>
      <c r="J161" s="256" t="str">
        <f t="shared" si="16"/>
        <v/>
      </c>
      <c r="K161" s="256" t="str">
        <f t="shared" si="17"/>
        <v/>
      </c>
      <c r="L161" s="250" t="str">
        <f t="shared" si="18"/>
        <v/>
      </c>
      <c r="M161" s="257"/>
      <c r="N161" s="250" t="str">
        <f t="shared" si="19"/>
        <v/>
      </c>
      <c r="O161" s="250" t="str">
        <f t="shared" si="20"/>
        <v/>
      </c>
      <c r="P161" s="252"/>
      <c r="Q161" s="250" t="b">
        <v>0</v>
      </c>
    </row>
    <row r="162" spans="1:17" ht="20" customHeight="1">
      <c r="A162" s="250" t="str">
        <f t="shared" si="14"/>
        <v/>
      </c>
      <c r="B162" s="251"/>
      <c r="C162" s="252"/>
      <c r="D162" s="252"/>
      <c r="E162" s="252"/>
      <c r="F162" s="253"/>
      <c r="G162" s="254"/>
      <c r="H162" s="255"/>
      <c r="I162" s="256" t="str">
        <f t="shared" si="15"/>
        <v/>
      </c>
      <c r="J162" s="256" t="str">
        <f t="shared" si="16"/>
        <v/>
      </c>
      <c r="K162" s="256" t="str">
        <f t="shared" si="17"/>
        <v/>
      </c>
      <c r="L162" s="250" t="str">
        <f t="shared" si="18"/>
        <v/>
      </c>
      <c r="M162" s="257"/>
      <c r="N162" s="250" t="str">
        <f t="shared" si="19"/>
        <v/>
      </c>
      <c r="O162" s="250" t="str">
        <f t="shared" si="20"/>
        <v/>
      </c>
      <c r="P162" s="252"/>
      <c r="Q162" s="250" t="b">
        <v>0</v>
      </c>
    </row>
    <row r="163" spans="1:17" ht="20" customHeight="1">
      <c r="A163" s="250" t="str">
        <f t="shared" si="14"/>
        <v/>
      </c>
      <c r="B163" s="251"/>
      <c r="C163" s="252"/>
      <c r="D163" s="252"/>
      <c r="E163" s="252"/>
      <c r="F163" s="253"/>
      <c r="G163" s="254"/>
      <c r="H163" s="255"/>
      <c r="I163" s="256" t="str">
        <f t="shared" si="15"/>
        <v/>
      </c>
      <c r="J163" s="256" t="str">
        <f t="shared" si="16"/>
        <v/>
      </c>
      <c r="K163" s="256" t="str">
        <f t="shared" si="17"/>
        <v/>
      </c>
      <c r="L163" s="250" t="str">
        <f t="shared" si="18"/>
        <v/>
      </c>
      <c r="M163" s="257"/>
      <c r="N163" s="250" t="str">
        <f t="shared" si="19"/>
        <v/>
      </c>
      <c r="O163" s="250" t="str">
        <f t="shared" si="20"/>
        <v/>
      </c>
      <c r="P163" s="252"/>
      <c r="Q163" s="250" t="b">
        <v>0</v>
      </c>
    </row>
    <row r="164" spans="1:17" ht="20" customHeight="1">
      <c r="A164" s="250" t="str">
        <f t="shared" si="14"/>
        <v/>
      </c>
      <c r="B164" s="251"/>
      <c r="C164" s="252"/>
      <c r="D164" s="252"/>
      <c r="E164" s="252"/>
      <c r="F164" s="253"/>
      <c r="G164" s="254"/>
      <c r="H164" s="255"/>
      <c r="I164" s="256" t="str">
        <f t="shared" si="15"/>
        <v/>
      </c>
      <c r="J164" s="256" t="str">
        <f t="shared" si="16"/>
        <v/>
      </c>
      <c r="K164" s="256" t="str">
        <f t="shared" si="17"/>
        <v/>
      </c>
      <c r="L164" s="250" t="str">
        <f t="shared" si="18"/>
        <v/>
      </c>
      <c r="M164" s="257"/>
      <c r="N164" s="250" t="str">
        <f t="shared" si="19"/>
        <v/>
      </c>
      <c r="O164" s="250" t="str">
        <f t="shared" si="20"/>
        <v/>
      </c>
      <c r="P164" s="252"/>
      <c r="Q164" s="250" t="b">
        <v>0</v>
      </c>
    </row>
    <row r="165" spans="1:17" ht="20" customHeight="1">
      <c r="A165" s="250" t="str">
        <f t="shared" si="14"/>
        <v/>
      </c>
      <c r="B165" s="251"/>
      <c r="C165" s="252"/>
      <c r="D165" s="252"/>
      <c r="E165" s="252"/>
      <c r="F165" s="253"/>
      <c r="G165" s="254"/>
      <c r="H165" s="255"/>
      <c r="I165" s="256" t="str">
        <f t="shared" si="15"/>
        <v/>
      </c>
      <c r="J165" s="256" t="str">
        <f t="shared" si="16"/>
        <v/>
      </c>
      <c r="K165" s="256" t="str">
        <f t="shared" si="17"/>
        <v/>
      </c>
      <c r="L165" s="250" t="str">
        <f t="shared" si="18"/>
        <v/>
      </c>
      <c r="M165" s="257"/>
      <c r="N165" s="250" t="str">
        <f t="shared" si="19"/>
        <v/>
      </c>
      <c r="O165" s="250" t="str">
        <f t="shared" si="20"/>
        <v/>
      </c>
      <c r="P165" s="252"/>
      <c r="Q165" s="250" t="b">
        <v>0</v>
      </c>
    </row>
    <row r="166" spans="1:17" ht="20" customHeight="1">
      <c r="A166" s="250" t="str">
        <f t="shared" si="14"/>
        <v/>
      </c>
      <c r="B166" s="251"/>
      <c r="C166" s="252"/>
      <c r="D166" s="252"/>
      <c r="E166" s="252"/>
      <c r="F166" s="253"/>
      <c r="G166" s="254"/>
      <c r="H166" s="255"/>
      <c r="I166" s="256" t="str">
        <f t="shared" si="15"/>
        <v/>
      </c>
      <c r="J166" s="256" t="str">
        <f t="shared" si="16"/>
        <v/>
      </c>
      <c r="K166" s="256" t="str">
        <f t="shared" si="17"/>
        <v/>
      </c>
      <c r="L166" s="250" t="str">
        <f t="shared" si="18"/>
        <v/>
      </c>
      <c r="M166" s="257"/>
      <c r="N166" s="250" t="str">
        <f t="shared" si="19"/>
        <v/>
      </c>
      <c r="O166" s="250" t="str">
        <f t="shared" si="20"/>
        <v/>
      </c>
      <c r="P166" s="252"/>
      <c r="Q166" s="250" t="b">
        <v>0</v>
      </c>
    </row>
    <row r="167" spans="1:17" ht="20" customHeight="1">
      <c r="A167" s="250" t="str">
        <f t="shared" si="14"/>
        <v/>
      </c>
      <c r="B167" s="251"/>
      <c r="C167" s="252"/>
      <c r="D167" s="252"/>
      <c r="E167" s="252"/>
      <c r="F167" s="253"/>
      <c r="G167" s="254"/>
      <c r="H167" s="255"/>
      <c r="I167" s="256" t="str">
        <f t="shared" si="15"/>
        <v/>
      </c>
      <c r="J167" s="256" t="str">
        <f t="shared" si="16"/>
        <v/>
      </c>
      <c r="K167" s="256" t="str">
        <f t="shared" si="17"/>
        <v/>
      </c>
      <c r="L167" s="250" t="str">
        <f t="shared" si="18"/>
        <v/>
      </c>
      <c r="M167" s="257"/>
      <c r="N167" s="250" t="str">
        <f t="shared" si="19"/>
        <v/>
      </c>
      <c r="O167" s="250" t="str">
        <f t="shared" si="20"/>
        <v/>
      </c>
      <c r="P167" s="252"/>
      <c r="Q167" s="250" t="b">
        <v>0</v>
      </c>
    </row>
    <row r="168" spans="1:17" ht="20" customHeight="1">
      <c r="A168" s="250" t="str">
        <f t="shared" si="14"/>
        <v/>
      </c>
      <c r="B168" s="251"/>
      <c r="C168" s="252"/>
      <c r="D168" s="252"/>
      <c r="E168" s="252"/>
      <c r="F168" s="253"/>
      <c r="G168" s="254"/>
      <c r="H168" s="255"/>
      <c r="I168" s="256" t="str">
        <f t="shared" si="15"/>
        <v/>
      </c>
      <c r="J168" s="256" t="str">
        <f t="shared" si="16"/>
        <v/>
      </c>
      <c r="K168" s="256" t="str">
        <f t="shared" si="17"/>
        <v/>
      </c>
      <c r="L168" s="250" t="str">
        <f t="shared" si="18"/>
        <v/>
      </c>
      <c r="M168" s="257"/>
      <c r="N168" s="250" t="str">
        <f t="shared" si="19"/>
        <v/>
      </c>
      <c r="O168" s="250" t="str">
        <f t="shared" si="20"/>
        <v/>
      </c>
      <c r="P168" s="252"/>
      <c r="Q168" s="250" t="b">
        <v>0</v>
      </c>
    </row>
    <row r="169" spans="1:17" ht="20" customHeight="1">
      <c r="A169" s="250" t="str">
        <f t="shared" si="14"/>
        <v/>
      </c>
      <c r="B169" s="251"/>
      <c r="C169" s="252"/>
      <c r="D169" s="252"/>
      <c r="E169" s="252"/>
      <c r="F169" s="253"/>
      <c r="G169" s="254"/>
      <c r="H169" s="255"/>
      <c r="I169" s="256" t="str">
        <f t="shared" si="15"/>
        <v/>
      </c>
      <c r="J169" s="256" t="str">
        <f t="shared" si="16"/>
        <v/>
      </c>
      <c r="K169" s="256" t="str">
        <f t="shared" si="17"/>
        <v/>
      </c>
      <c r="L169" s="250" t="str">
        <f t="shared" si="18"/>
        <v/>
      </c>
      <c r="M169" s="257"/>
      <c r="N169" s="250" t="str">
        <f t="shared" si="19"/>
        <v/>
      </c>
      <c r="O169" s="250" t="str">
        <f t="shared" si="20"/>
        <v/>
      </c>
      <c r="P169" s="252"/>
      <c r="Q169" s="250" t="b">
        <v>0</v>
      </c>
    </row>
    <row r="170" spans="1:17" ht="20" customHeight="1">
      <c r="A170" s="250" t="str">
        <f t="shared" si="14"/>
        <v/>
      </c>
      <c r="B170" s="251"/>
      <c r="C170" s="252"/>
      <c r="D170" s="252"/>
      <c r="E170" s="252"/>
      <c r="F170" s="253"/>
      <c r="G170" s="254"/>
      <c r="H170" s="255"/>
      <c r="I170" s="256" t="str">
        <f t="shared" si="15"/>
        <v/>
      </c>
      <c r="J170" s="256" t="str">
        <f t="shared" si="16"/>
        <v/>
      </c>
      <c r="K170" s="256" t="str">
        <f t="shared" si="17"/>
        <v/>
      </c>
      <c r="L170" s="250" t="str">
        <f t="shared" si="18"/>
        <v/>
      </c>
      <c r="M170" s="257"/>
      <c r="N170" s="250" t="str">
        <f t="shared" si="19"/>
        <v/>
      </c>
      <c r="O170" s="250" t="str">
        <f t="shared" si="20"/>
        <v/>
      </c>
      <c r="P170" s="252"/>
      <c r="Q170" s="250" t="b">
        <v>0</v>
      </c>
    </row>
    <row r="171" spans="1:17" ht="20" customHeight="1">
      <c r="A171" s="250" t="str">
        <f t="shared" si="14"/>
        <v/>
      </c>
      <c r="B171" s="251"/>
      <c r="C171" s="252"/>
      <c r="D171" s="252"/>
      <c r="E171" s="252"/>
      <c r="F171" s="253"/>
      <c r="G171" s="254"/>
      <c r="H171" s="255"/>
      <c r="I171" s="256" t="str">
        <f t="shared" si="15"/>
        <v/>
      </c>
      <c r="J171" s="256" t="str">
        <f t="shared" si="16"/>
        <v/>
      </c>
      <c r="K171" s="256" t="str">
        <f t="shared" si="17"/>
        <v/>
      </c>
      <c r="L171" s="250" t="str">
        <f t="shared" si="18"/>
        <v/>
      </c>
      <c r="M171" s="257"/>
      <c r="N171" s="250" t="str">
        <f t="shared" si="19"/>
        <v/>
      </c>
      <c r="O171" s="250" t="str">
        <f t="shared" si="20"/>
        <v/>
      </c>
      <c r="P171" s="252"/>
      <c r="Q171" s="250" t="b">
        <v>0</v>
      </c>
    </row>
    <row r="172" spans="1:17" ht="20" customHeight="1">
      <c r="A172" s="250" t="str">
        <f t="shared" si="14"/>
        <v/>
      </c>
      <c r="B172" s="251"/>
      <c r="C172" s="252"/>
      <c r="D172" s="252"/>
      <c r="E172" s="252"/>
      <c r="F172" s="253"/>
      <c r="G172" s="254"/>
      <c r="H172" s="255"/>
      <c r="I172" s="256" t="str">
        <f t="shared" si="15"/>
        <v/>
      </c>
      <c r="J172" s="256" t="str">
        <f t="shared" si="16"/>
        <v/>
      </c>
      <c r="K172" s="256" t="str">
        <f t="shared" si="17"/>
        <v/>
      </c>
      <c r="L172" s="250" t="str">
        <f t="shared" si="18"/>
        <v/>
      </c>
      <c r="M172" s="257"/>
      <c r="N172" s="250" t="str">
        <f t="shared" si="19"/>
        <v/>
      </c>
      <c r="O172" s="250" t="str">
        <f t="shared" si="20"/>
        <v/>
      </c>
      <c r="P172" s="252"/>
      <c r="Q172" s="250" t="b">
        <v>0</v>
      </c>
    </row>
    <row r="173" spans="1:17" ht="20" customHeight="1">
      <c r="A173" s="250" t="str">
        <f t="shared" si="14"/>
        <v/>
      </c>
      <c r="B173" s="251"/>
      <c r="C173" s="252"/>
      <c r="D173" s="252"/>
      <c r="E173" s="252"/>
      <c r="F173" s="253"/>
      <c r="G173" s="254"/>
      <c r="H173" s="255"/>
      <c r="I173" s="256" t="str">
        <f t="shared" si="15"/>
        <v/>
      </c>
      <c r="J173" s="256" t="str">
        <f t="shared" si="16"/>
        <v/>
      </c>
      <c r="K173" s="256" t="str">
        <f t="shared" si="17"/>
        <v/>
      </c>
      <c r="L173" s="250" t="str">
        <f t="shared" si="18"/>
        <v/>
      </c>
      <c r="M173" s="257"/>
      <c r="N173" s="250" t="str">
        <f t="shared" si="19"/>
        <v/>
      </c>
      <c r="O173" s="250" t="str">
        <f t="shared" si="20"/>
        <v/>
      </c>
      <c r="P173" s="252"/>
      <c r="Q173" s="250" t="b">
        <v>0</v>
      </c>
    </row>
    <row r="174" spans="1:17" ht="20" customHeight="1">
      <c r="A174" s="250" t="str">
        <f t="shared" si="14"/>
        <v/>
      </c>
      <c r="B174" s="251"/>
      <c r="C174" s="252"/>
      <c r="D174" s="252"/>
      <c r="E174" s="252"/>
      <c r="F174" s="253"/>
      <c r="G174" s="254"/>
      <c r="H174" s="255"/>
      <c r="I174" s="256" t="str">
        <f t="shared" si="15"/>
        <v/>
      </c>
      <c r="J174" s="256" t="str">
        <f t="shared" si="16"/>
        <v/>
      </c>
      <c r="K174" s="256" t="str">
        <f t="shared" si="17"/>
        <v/>
      </c>
      <c r="L174" s="250" t="str">
        <f t="shared" si="18"/>
        <v/>
      </c>
      <c r="M174" s="257"/>
      <c r="N174" s="250" t="str">
        <f t="shared" si="19"/>
        <v/>
      </c>
      <c r="O174" s="250" t="str">
        <f t="shared" si="20"/>
        <v/>
      </c>
      <c r="P174" s="252"/>
      <c r="Q174" s="250" t="b">
        <v>0</v>
      </c>
    </row>
    <row r="175" spans="1:17" ht="20" customHeight="1">
      <c r="A175" s="250" t="str">
        <f t="shared" si="14"/>
        <v/>
      </c>
      <c r="B175" s="251"/>
      <c r="C175" s="252"/>
      <c r="D175" s="252"/>
      <c r="E175" s="252"/>
      <c r="F175" s="253"/>
      <c r="G175" s="254"/>
      <c r="H175" s="255"/>
      <c r="I175" s="256" t="str">
        <f t="shared" si="15"/>
        <v/>
      </c>
      <c r="J175" s="256" t="str">
        <f t="shared" si="16"/>
        <v/>
      </c>
      <c r="K175" s="256" t="str">
        <f t="shared" si="17"/>
        <v/>
      </c>
      <c r="L175" s="250" t="str">
        <f t="shared" si="18"/>
        <v/>
      </c>
      <c r="M175" s="257"/>
      <c r="N175" s="250" t="str">
        <f t="shared" si="19"/>
        <v/>
      </c>
      <c r="O175" s="250" t="str">
        <f t="shared" si="20"/>
        <v/>
      </c>
      <c r="P175" s="252"/>
      <c r="Q175" s="250" t="b">
        <v>0</v>
      </c>
    </row>
    <row r="176" spans="1:17" ht="20" customHeight="1">
      <c r="A176" s="250" t="str">
        <f t="shared" si="14"/>
        <v/>
      </c>
      <c r="B176" s="251"/>
      <c r="C176" s="252"/>
      <c r="D176" s="252"/>
      <c r="E176" s="252"/>
      <c r="F176" s="253"/>
      <c r="G176" s="254"/>
      <c r="H176" s="255"/>
      <c r="I176" s="256" t="str">
        <f t="shared" si="15"/>
        <v/>
      </c>
      <c r="J176" s="256" t="str">
        <f t="shared" si="16"/>
        <v/>
      </c>
      <c r="K176" s="256" t="str">
        <f t="shared" si="17"/>
        <v/>
      </c>
      <c r="L176" s="250" t="str">
        <f t="shared" si="18"/>
        <v/>
      </c>
      <c r="M176" s="257"/>
      <c r="N176" s="250" t="str">
        <f t="shared" si="19"/>
        <v/>
      </c>
      <c r="O176" s="250" t="str">
        <f t="shared" si="20"/>
        <v/>
      </c>
      <c r="P176" s="252"/>
      <c r="Q176" s="250" t="b">
        <v>0</v>
      </c>
    </row>
    <row r="177" spans="1:17" ht="20" customHeight="1">
      <c r="A177" s="250" t="str">
        <f t="shared" si="14"/>
        <v/>
      </c>
      <c r="B177" s="251"/>
      <c r="C177" s="252"/>
      <c r="D177" s="252"/>
      <c r="E177" s="252"/>
      <c r="F177" s="253"/>
      <c r="G177" s="254"/>
      <c r="H177" s="255"/>
      <c r="I177" s="256" t="str">
        <f t="shared" si="15"/>
        <v/>
      </c>
      <c r="J177" s="256" t="str">
        <f t="shared" si="16"/>
        <v/>
      </c>
      <c r="K177" s="256" t="str">
        <f t="shared" si="17"/>
        <v/>
      </c>
      <c r="L177" s="250" t="str">
        <f t="shared" si="18"/>
        <v/>
      </c>
      <c r="M177" s="257"/>
      <c r="N177" s="250" t="str">
        <f t="shared" si="19"/>
        <v/>
      </c>
      <c r="O177" s="250" t="str">
        <f t="shared" si="20"/>
        <v/>
      </c>
      <c r="P177" s="252"/>
      <c r="Q177" s="250" t="b">
        <v>0</v>
      </c>
    </row>
    <row r="178" spans="1:17" ht="20" customHeight="1">
      <c r="A178" s="250" t="str">
        <f t="shared" si="14"/>
        <v/>
      </c>
      <c r="B178" s="251"/>
      <c r="C178" s="252"/>
      <c r="D178" s="252"/>
      <c r="E178" s="252"/>
      <c r="F178" s="253"/>
      <c r="G178" s="254"/>
      <c r="H178" s="255"/>
      <c r="I178" s="256" t="str">
        <f t="shared" si="15"/>
        <v/>
      </c>
      <c r="J178" s="256" t="str">
        <f t="shared" si="16"/>
        <v/>
      </c>
      <c r="K178" s="256" t="str">
        <f t="shared" si="17"/>
        <v/>
      </c>
      <c r="L178" s="250" t="str">
        <f t="shared" si="18"/>
        <v/>
      </c>
      <c r="M178" s="257"/>
      <c r="N178" s="250" t="str">
        <f t="shared" si="19"/>
        <v/>
      </c>
      <c r="O178" s="250" t="str">
        <f t="shared" si="20"/>
        <v/>
      </c>
      <c r="P178" s="252"/>
      <c r="Q178" s="250" t="b">
        <v>0</v>
      </c>
    </row>
    <row r="179" spans="1:17" ht="20" customHeight="1">
      <c r="A179" s="250" t="str">
        <f t="shared" si="14"/>
        <v/>
      </c>
      <c r="B179" s="251"/>
      <c r="C179" s="252"/>
      <c r="D179" s="252"/>
      <c r="E179" s="252"/>
      <c r="F179" s="253"/>
      <c r="G179" s="254"/>
      <c r="H179" s="255"/>
      <c r="I179" s="256" t="str">
        <f t="shared" si="15"/>
        <v/>
      </c>
      <c r="J179" s="256" t="str">
        <f t="shared" si="16"/>
        <v/>
      </c>
      <c r="K179" s="256" t="str">
        <f t="shared" si="17"/>
        <v/>
      </c>
      <c r="L179" s="250" t="str">
        <f t="shared" si="18"/>
        <v/>
      </c>
      <c r="M179" s="257"/>
      <c r="N179" s="250" t="str">
        <f t="shared" si="19"/>
        <v/>
      </c>
      <c r="O179" s="250" t="str">
        <f t="shared" si="20"/>
        <v/>
      </c>
      <c r="P179" s="252"/>
      <c r="Q179" s="250" t="b">
        <v>0</v>
      </c>
    </row>
    <row r="180" spans="1:17" ht="20" customHeight="1">
      <c r="A180" s="250" t="str">
        <f t="shared" si="14"/>
        <v/>
      </c>
      <c r="B180" s="251"/>
      <c r="C180" s="252"/>
      <c r="D180" s="252"/>
      <c r="E180" s="252"/>
      <c r="F180" s="253"/>
      <c r="G180" s="254"/>
      <c r="H180" s="255"/>
      <c r="I180" s="256" t="str">
        <f t="shared" si="15"/>
        <v/>
      </c>
      <c r="J180" s="256" t="str">
        <f t="shared" si="16"/>
        <v/>
      </c>
      <c r="K180" s="256" t="str">
        <f t="shared" si="17"/>
        <v/>
      </c>
      <c r="L180" s="250" t="str">
        <f t="shared" si="18"/>
        <v/>
      </c>
      <c r="M180" s="257"/>
      <c r="N180" s="250" t="str">
        <f t="shared" si="19"/>
        <v/>
      </c>
      <c r="O180" s="250" t="str">
        <f t="shared" si="20"/>
        <v/>
      </c>
      <c r="P180" s="252"/>
      <c r="Q180" s="250" t="b">
        <v>0</v>
      </c>
    </row>
    <row r="181" spans="1:17" ht="20" customHeight="1">
      <c r="A181" s="250" t="str">
        <f t="shared" si="14"/>
        <v/>
      </c>
      <c r="B181" s="251"/>
      <c r="C181" s="252"/>
      <c r="D181" s="252"/>
      <c r="E181" s="252"/>
      <c r="F181" s="253"/>
      <c r="G181" s="254"/>
      <c r="H181" s="255"/>
      <c r="I181" s="256" t="str">
        <f t="shared" si="15"/>
        <v/>
      </c>
      <c r="J181" s="256" t="str">
        <f t="shared" si="16"/>
        <v/>
      </c>
      <c r="K181" s="256" t="str">
        <f t="shared" si="17"/>
        <v/>
      </c>
      <c r="L181" s="250" t="str">
        <f t="shared" si="18"/>
        <v/>
      </c>
      <c r="M181" s="257"/>
      <c r="N181" s="250" t="str">
        <f t="shared" si="19"/>
        <v/>
      </c>
      <c r="O181" s="250" t="str">
        <f t="shared" si="20"/>
        <v/>
      </c>
      <c r="P181" s="252"/>
      <c r="Q181" s="250" t="b">
        <v>0</v>
      </c>
    </row>
    <row r="182" spans="1:17" ht="20" customHeight="1">
      <c r="A182" s="250" t="str">
        <f t="shared" si="14"/>
        <v/>
      </c>
      <c r="B182" s="251"/>
      <c r="C182" s="252"/>
      <c r="D182" s="252"/>
      <c r="E182" s="252"/>
      <c r="F182" s="253"/>
      <c r="G182" s="254"/>
      <c r="H182" s="255"/>
      <c r="I182" s="256" t="str">
        <f t="shared" si="15"/>
        <v/>
      </c>
      <c r="J182" s="256" t="str">
        <f t="shared" si="16"/>
        <v/>
      </c>
      <c r="K182" s="256" t="str">
        <f t="shared" si="17"/>
        <v/>
      </c>
      <c r="L182" s="250" t="str">
        <f t="shared" si="18"/>
        <v/>
      </c>
      <c r="M182" s="257"/>
      <c r="N182" s="250" t="str">
        <f t="shared" si="19"/>
        <v/>
      </c>
      <c r="O182" s="250" t="str">
        <f t="shared" si="20"/>
        <v/>
      </c>
      <c r="P182" s="252"/>
      <c r="Q182" s="250" t="b">
        <v>0</v>
      </c>
    </row>
    <row r="183" spans="1:17" ht="20" customHeight="1">
      <c r="A183" s="250" t="str">
        <f t="shared" si="14"/>
        <v/>
      </c>
      <c r="B183" s="251"/>
      <c r="C183" s="252"/>
      <c r="D183" s="252"/>
      <c r="E183" s="252"/>
      <c r="F183" s="253"/>
      <c r="G183" s="254"/>
      <c r="H183" s="255"/>
      <c r="I183" s="256" t="str">
        <f t="shared" si="15"/>
        <v/>
      </c>
      <c r="J183" s="256" t="str">
        <f t="shared" si="16"/>
        <v/>
      </c>
      <c r="K183" s="256" t="str">
        <f t="shared" si="17"/>
        <v/>
      </c>
      <c r="L183" s="250" t="str">
        <f t="shared" si="18"/>
        <v/>
      </c>
      <c r="M183" s="257"/>
      <c r="N183" s="250" t="str">
        <f t="shared" si="19"/>
        <v/>
      </c>
      <c r="O183" s="250" t="str">
        <f t="shared" si="20"/>
        <v/>
      </c>
      <c r="P183" s="252"/>
      <c r="Q183" s="250" t="b">
        <v>0</v>
      </c>
    </row>
    <row r="184" spans="1:17" ht="20" customHeight="1">
      <c r="A184" s="250" t="str">
        <f t="shared" si="14"/>
        <v/>
      </c>
      <c r="B184" s="251"/>
      <c r="C184" s="252"/>
      <c r="D184" s="252"/>
      <c r="E184" s="252"/>
      <c r="F184" s="253"/>
      <c r="G184" s="254"/>
      <c r="H184" s="255"/>
      <c r="I184" s="256" t="str">
        <f t="shared" si="15"/>
        <v/>
      </c>
      <c r="J184" s="256" t="str">
        <f t="shared" si="16"/>
        <v/>
      </c>
      <c r="K184" s="256" t="str">
        <f t="shared" si="17"/>
        <v/>
      </c>
      <c r="L184" s="250" t="str">
        <f t="shared" si="18"/>
        <v/>
      </c>
      <c r="M184" s="257"/>
      <c r="N184" s="250" t="str">
        <f t="shared" si="19"/>
        <v/>
      </c>
      <c r="O184" s="250" t="str">
        <f t="shared" si="20"/>
        <v/>
      </c>
      <c r="P184" s="252"/>
      <c r="Q184" s="250" t="b">
        <v>0</v>
      </c>
    </row>
    <row r="185" spans="1:17" ht="20" customHeight="1">
      <c r="A185" s="250" t="str">
        <f t="shared" si="14"/>
        <v/>
      </c>
      <c r="B185" s="251"/>
      <c r="C185" s="252"/>
      <c r="D185" s="252"/>
      <c r="E185" s="252"/>
      <c r="F185" s="253"/>
      <c r="G185" s="254"/>
      <c r="H185" s="255"/>
      <c r="I185" s="256" t="str">
        <f t="shared" si="15"/>
        <v/>
      </c>
      <c r="J185" s="256" t="str">
        <f t="shared" si="16"/>
        <v/>
      </c>
      <c r="K185" s="256" t="str">
        <f t="shared" si="17"/>
        <v/>
      </c>
      <c r="L185" s="250" t="str">
        <f t="shared" si="18"/>
        <v/>
      </c>
      <c r="M185" s="257"/>
      <c r="N185" s="250" t="str">
        <f t="shared" si="19"/>
        <v/>
      </c>
      <c r="O185" s="250" t="str">
        <f t="shared" si="20"/>
        <v/>
      </c>
      <c r="P185" s="252"/>
      <c r="Q185" s="250" t="b">
        <v>0</v>
      </c>
    </row>
    <row r="186" spans="1:17" ht="20" customHeight="1">
      <c r="A186" s="250" t="str">
        <f t="shared" si="14"/>
        <v/>
      </c>
      <c r="B186" s="251"/>
      <c r="C186" s="252"/>
      <c r="D186" s="252"/>
      <c r="E186" s="252"/>
      <c r="F186" s="253"/>
      <c r="G186" s="254"/>
      <c r="H186" s="255"/>
      <c r="I186" s="256" t="str">
        <f t="shared" si="15"/>
        <v/>
      </c>
      <c r="J186" s="256" t="str">
        <f t="shared" si="16"/>
        <v/>
      </c>
      <c r="K186" s="256" t="str">
        <f t="shared" si="17"/>
        <v/>
      </c>
      <c r="L186" s="250" t="str">
        <f t="shared" si="18"/>
        <v/>
      </c>
      <c r="M186" s="257"/>
      <c r="N186" s="250" t="str">
        <f t="shared" si="19"/>
        <v/>
      </c>
      <c r="O186" s="250" t="str">
        <f t="shared" si="20"/>
        <v/>
      </c>
      <c r="P186" s="252"/>
      <c r="Q186" s="250" t="b">
        <v>0</v>
      </c>
    </row>
    <row r="187" spans="1:17" ht="20" customHeight="1">
      <c r="A187" s="250" t="str">
        <f t="shared" si="14"/>
        <v/>
      </c>
      <c r="B187" s="251"/>
      <c r="C187" s="252"/>
      <c r="D187" s="252"/>
      <c r="E187" s="252"/>
      <c r="F187" s="253"/>
      <c r="G187" s="254"/>
      <c r="H187" s="255"/>
      <c r="I187" s="256" t="str">
        <f t="shared" si="15"/>
        <v/>
      </c>
      <c r="J187" s="256" t="str">
        <f t="shared" si="16"/>
        <v/>
      </c>
      <c r="K187" s="256" t="str">
        <f t="shared" si="17"/>
        <v/>
      </c>
      <c r="L187" s="250" t="str">
        <f t="shared" si="18"/>
        <v/>
      </c>
      <c r="M187" s="257"/>
      <c r="N187" s="250" t="str">
        <f t="shared" si="19"/>
        <v/>
      </c>
      <c r="O187" s="250" t="str">
        <f t="shared" si="20"/>
        <v/>
      </c>
      <c r="P187" s="252"/>
      <c r="Q187" s="250" t="b">
        <v>0</v>
      </c>
    </row>
    <row r="188" spans="1:17" ht="20" customHeight="1">
      <c r="A188" s="250" t="str">
        <f t="shared" si="14"/>
        <v/>
      </c>
      <c r="B188" s="251"/>
      <c r="C188" s="252"/>
      <c r="D188" s="252"/>
      <c r="E188" s="252"/>
      <c r="F188" s="253"/>
      <c r="G188" s="254"/>
      <c r="H188" s="255"/>
      <c r="I188" s="256" t="str">
        <f t="shared" si="15"/>
        <v/>
      </c>
      <c r="J188" s="256" t="str">
        <f t="shared" si="16"/>
        <v/>
      </c>
      <c r="K188" s="256" t="str">
        <f t="shared" si="17"/>
        <v/>
      </c>
      <c r="L188" s="250" t="str">
        <f t="shared" si="18"/>
        <v/>
      </c>
      <c r="M188" s="257"/>
      <c r="N188" s="250" t="str">
        <f t="shared" si="19"/>
        <v/>
      </c>
      <c r="O188" s="250" t="str">
        <f t="shared" si="20"/>
        <v/>
      </c>
      <c r="P188" s="252"/>
      <c r="Q188" s="250" t="b">
        <v>0</v>
      </c>
    </row>
    <row r="189" spans="1:17" ht="20" customHeight="1">
      <c r="A189" s="250" t="str">
        <f t="shared" si="14"/>
        <v/>
      </c>
      <c r="B189" s="251"/>
      <c r="C189" s="252"/>
      <c r="D189" s="252"/>
      <c r="E189" s="252"/>
      <c r="F189" s="253"/>
      <c r="G189" s="254"/>
      <c r="H189" s="255"/>
      <c r="I189" s="256" t="str">
        <f t="shared" si="15"/>
        <v/>
      </c>
      <c r="J189" s="256" t="str">
        <f t="shared" si="16"/>
        <v/>
      </c>
      <c r="K189" s="256" t="str">
        <f t="shared" si="17"/>
        <v/>
      </c>
      <c r="L189" s="250" t="str">
        <f t="shared" si="18"/>
        <v/>
      </c>
      <c r="M189" s="257"/>
      <c r="N189" s="250" t="str">
        <f t="shared" si="19"/>
        <v/>
      </c>
      <c r="O189" s="250" t="str">
        <f t="shared" si="20"/>
        <v/>
      </c>
      <c r="P189" s="252"/>
      <c r="Q189" s="250" t="b">
        <v>0</v>
      </c>
    </row>
    <row r="190" spans="1:17" ht="20" customHeight="1">
      <c r="A190" s="250" t="str">
        <f t="shared" si="14"/>
        <v/>
      </c>
      <c r="B190" s="251"/>
      <c r="C190" s="252"/>
      <c r="D190" s="252"/>
      <c r="E190" s="252"/>
      <c r="F190" s="253"/>
      <c r="G190" s="254"/>
      <c r="H190" s="255"/>
      <c r="I190" s="256" t="str">
        <f t="shared" si="15"/>
        <v/>
      </c>
      <c r="J190" s="256" t="str">
        <f t="shared" si="16"/>
        <v/>
      </c>
      <c r="K190" s="256" t="str">
        <f t="shared" si="17"/>
        <v/>
      </c>
      <c r="L190" s="250" t="str">
        <f t="shared" si="18"/>
        <v/>
      </c>
      <c r="M190" s="257"/>
      <c r="N190" s="250" t="str">
        <f t="shared" si="19"/>
        <v/>
      </c>
      <c r="O190" s="250" t="str">
        <f t="shared" si="20"/>
        <v/>
      </c>
      <c r="P190" s="252"/>
      <c r="Q190" s="250" t="b">
        <v>0</v>
      </c>
    </row>
    <row r="191" spans="1:17" ht="20" customHeight="1">
      <c r="A191" s="250" t="str">
        <f t="shared" si="14"/>
        <v/>
      </c>
      <c r="B191" s="251"/>
      <c r="C191" s="252"/>
      <c r="D191" s="252"/>
      <c r="E191" s="252"/>
      <c r="F191" s="253"/>
      <c r="G191" s="254"/>
      <c r="H191" s="255"/>
      <c r="I191" s="256" t="str">
        <f t="shared" si="15"/>
        <v/>
      </c>
      <c r="J191" s="256" t="str">
        <f t="shared" si="16"/>
        <v/>
      </c>
      <c r="K191" s="256" t="str">
        <f t="shared" si="17"/>
        <v/>
      </c>
      <c r="L191" s="250" t="str">
        <f t="shared" si="18"/>
        <v/>
      </c>
      <c r="M191" s="257"/>
      <c r="N191" s="250" t="str">
        <f t="shared" si="19"/>
        <v/>
      </c>
      <c r="O191" s="250" t="str">
        <f t="shared" si="20"/>
        <v/>
      </c>
      <c r="P191" s="252"/>
      <c r="Q191" s="250" t="b">
        <v>0</v>
      </c>
    </row>
    <row r="192" spans="1:17" ht="20" customHeight="1">
      <c r="A192" s="250" t="str">
        <f t="shared" si="14"/>
        <v/>
      </c>
      <c r="B192" s="251"/>
      <c r="C192" s="252"/>
      <c r="D192" s="252"/>
      <c r="E192" s="252"/>
      <c r="F192" s="253"/>
      <c r="G192" s="254"/>
      <c r="H192" s="255"/>
      <c r="I192" s="256" t="str">
        <f t="shared" si="15"/>
        <v/>
      </c>
      <c r="J192" s="256" t="str">
        <f t="shared" si="16"/>
        <v/>
      </c>
      <c r="K192" s="256" t="str">
        <f t="shared" si="17"/>
        <v/>
      </c>
      <c r="L192" s="250" t="str">
        <f t="shared" si="18"/>
        <v/>
      </c>
      <c r="M192" s="257"/>
      <c r="N192" s="250" t="str">
        <f t="shared" si="19"/>
        <v/>
      </c>
      <c r="O192" s="250" t="str">
        <f t="shared" si="20"/>
        <v/>
      </c>
      <c r="P192" s="252"/>
      <c r="Q192" s="250" t="b">
        <v>0</v>
      </c>
    </row>
    <row r="193" spans="1:17" ht="20" customHeight="1">
      <c r="A193" s="250" t="str">
        <f t="shared" si="14"/>
        <v/>
      </c>
      <c r="B193" s="251"/>
      <c r="C193" s="252"/>
      <c r="D193" s="252"/>
      <c r="E193" s="252"/>
      <c r="F193" s="253"/>
      <c r="G193" s="254"/>
      <c r="H193" s="255"/>
      <c r="I193" s="256" t="str">
        <f t="shared" si="15"/>
        <v/>
      </c>
      <c r="J193" s="256" t="str">
        <f t="shared" si="16"/>
        <v/>
      </c>
      <c r="K193" s="256" t="str">
        <f t="shared" si="17"/>
        <v/>
      </c>
      <c r="L193" s="250" t="str">
        <f t="shared" si="18"/>
        <v/>
      </c>
      <c r="M193" s="257"/>
      <c r="N193" s="250" t="str">
        <f t="shared" si="19"/>
        <v/>
      </c>
      <c r="O193" s="250" t="str">
        <f t="shared" si="20"/>
        <v/>
      </c>
      <c r="P193" s="252"/>
      <c r="Q193" s="250" t="b">
        <v>0</v>
      </c>
    </row>
    <row r="194" spans="1:17" ht="20" customHeight="1">
      <c r="A194" s="250" t="str">
        <f t="shared" ref="A194:A210" si="21">IF(C194="","",ROW()-1)</f>
        <v/>
      </c>
      <c r="B194" s="251"/>
      <c r="C194" s="252"/>
      <c r="D194" s="252"/>
      <c r="E194" s="252"/>
      <c r="F194" s="253"/>
      <c r="G194" s="254"/>
      <c r="H194" s="255"/>
      <c r="I194" s="256" t="str">
        <f t="shared" ref="I194:I210" si="22">IF(C194="","",IF(D194="Treasury bond",CommBond,CommETF))</f>
        <v/>
      </c>
      <c r="J194" s="256" t="str">
        <f t="shared" ref="J194:J210" si="23">IF(C194="","",IF(D194="Treasury bond",F194*G194/100,F194*G194))</f>
        <v/>
      </c>
      <c r="K194" s="256" t="str">
        <f t="shared" ref="K194:K257" si="24">IF(C194="","",IF(E194="Buy",-(J194+N(H194)+I194),J194+N(H194)-I194))</f>
        <v/>
      </c>
      <c r="L194" s="250" t="str">
        <f t="shared" ref="L194:L210" si="25">IF(C194="","",IFERROR(VLOOKUP(C194,PlanHoldings,2,FALSE),"Not in plan"))</f>
        <v/>
      </c>
      <c r="M194" s="257"/>
      <c r="N194" s="250" t="str">
        <f t="shared" ref="N194:N257" si="26">IF(M194="","",LEN(M194))</f>
        <v/>
      </c>
      <c r="O194" s="250" t="str">
        <f t="shared" ref="O194:O257" si="27">IF(OR(M194="",NoteLimit=""),"",IF(N194&lt;=NoteLimit,"OK","Too long"))</f>
        <v/>
      </c>
      <c r="P194" s="252"/>
      <c r="Q194" s="250" t="b">
        <v>0</v>
      </c>
    </row>
    <row r="195" spans="1:17" ht="20" customHeight="1">
      <c r="A195" s="250" t="str">
        <f t="shared" si="21"/>
        <v/>
      </c>
      <c r="B195" s="251"/>
      <c r="C195" s="252"/>
      <c r="D195" s="252"/>
      <c r="E195" s="252"/>
      <c r="F195" s="253"/>
      <c r="G195" s="254"/>
      <c r="H195" s="255"/>
      <c r="I195" s="256" t="str">
        <f t="shared" si="22"/>
        <v/>
      </c>
      <c r="J195" s="256" t="str">
        <f t="shared" si="23"/>
        <v/>
      </c>
      <c r="K195" s="256" t="str">
        <f t="shared" si="24"/>
        <v/>
      </c>
      <c r="L195" s="250" t="str">
        <f t="shared" si="25"/>
        <v/>
      </c>
      <c r="M195" s="257"/>
      <c r="N195" s="250" t="str">
        <f t="shared" si="26"/>
        <v/>
      </c>
      <c r="O195" s="250" t="str">
        <f t="shared" si="27"/>
        <v/>
      </c>
      <c r="P195" s="252"/>
      <c r="Q195" s="250" t="b">
        <v>0</v>
      </c>
    </row>
    <row r="196" spans="1:17" ht="20" customHeight="1">
      <c r="A196" s="250" t="str">
        <f t="shared" si="21"/>
        <v/>
      </c>
      <c r="B196" s="251"/>
      <c r="C196" s="252"/>
      <c r="D196" s="252"/>
      <c r="E196" s="252"/>
      <c r="F196" s="253"/>
      <c r="G196" s="254"/>
      <c r="H196" s="255"/>
      <c r="I196" s="256" t="str">
        <f t="shared" si="22"/>
        <v/>
      </c>
      <c r="J196" s="256" t="str">
        <f t="shared" si="23"/>
        <v/>
      </c>
      <c r="K196" s="256" t="str">
        <f t="shared" si="24"/>
        <v/>
      </c>
      <c r="L196" s="250" t="str">
        <f t="shared" si="25"/>
        <v/>
      </c>
      <c r="M196" s="257"/>
      <c r="N196" s="250" t="str">
        <f t="shared" si="26"/>
        <v/>
      </c>
      <c r="O196" s="250" t="str">
        <f t="shared" si="27"/>
        <v/>
      </c>
      <c r="P196" s="252"/>
      <c r="Q196" s="250" t="b">
        <v>0</v>
      </c>
    </row>
    <row r="197" spans="1:17" ht="20" customHeight="1">
      <c r="A197" s="250" t="str">
        <f t="shared" si="21"/>
        <v/>
      </c>
      <c r="B197" s="251"/>
      <c r="C197" s="252"/>
      <c r="D197" s="252"/>
      <c r="E197" s="252"/>
      <c r="F197" s="253"/>
      <c r="G197" s="254"/>
      <c r="H197" s="255"/>
      <c r="I197" s="256" t="str">
        <f t="shared" si="22"/>
        <v/>
      </c>
      <c r="J197" s="256" t="str">
        <f t="shared" si="23"/>
        <v/>
      </c>
      <c r="K197" s="256" t="str">
        <f t="shared" si="24"/>
        <v/>
      </c>
      <c r="L197" s="250" t="str">
        <f t="shared" si="25"/>
        <v/>
      </c>
      <c r="M197" s="257"/>
      <c r="N197" s="250" t="str">
        <f t="shared" si="26"/>
        <v/>
      </c>
      <c r="O197" s="250" t="str">
        <f t="shared" si="27"/>
        <v/>
      </c>
      <c r="P197" s="252"/>
      <c r="Q197" s="250" t="b">
        <v>0</v>
      </c>
    </row>
    <row r="198" spans="1:17" ht="20" customHeight="1">
      <c r="A198" s="250" t="str">
        <f t="shared" si="21"/>
        <v/>
      </c>
      <c r="B198" s="251"/>
      <c r="C198" s="252"/>
      <c r="D198" s="252"/>
      <c r="E198" s="252"/>
      <c r="F198" s="253"/>
      <c r="G198" s="254"/>
      <c r="H198" s="255"/>
      <c r="I198" s="256" t="str">
        <f t="shared" si="22"/>
        <v/>
      </c>
      <c r="J198" s="256" t="str">
        <f t="shared" si="23"/>
        <v/>
      </c>
      <c r="K198" s="256" t="str">
        <f t="shared" si="24"/>
        <v/>
      </c>
      <c r="L198" s="250" t="str">
        <f t="shared" si="25"/>
        <v/>
      </c>
      <c r="M198" s="257"/>
      <c r="N198" s="250" t="str">
        <f t="shared" si="26"/>
        <v/>
      </c>
      <c r="O198" s="250" t="str">
        <f t="shared" si="27"/>
        <v/>
      </c>
      <c r="P198" s="252"/>
      <c r="Q198" s="250" t="b">
        <v>0</v>
      </c>
    </row>
    <row r="199" spans="1:17" ht="20" customHeight="1">
      <c r="A199" s="250" t="str">
        <f t="shared" si="21"/>
        <v/>
      </c>
      <c r="B199" s="251"/>
      <c r="C199" s="252"/>
      <c r="D199" s="252"/>
      <c r="E199" s="252"/>
      <c r="F199" s="253"/>
      <c r="G199" s="254"/>
      <c r="H199" s="255"/>
      <c r="I199" s="256" t="str">
        <f t="shared" si="22"/>
        <v/>
      </c>
      <c r="J199" s="256" t="str">
        <f t="shared" si="23"/>
        <v/>
      </c>
      <c r="K199" s="256" t="str">
        <f t="shared" si="24"/>
        <v/>
      </c>
      <c r="L199" s="250" t="str">
        <f t="shared" si="25"/>
        <v/>
      </c>
      <c r="M199" s="257"/>
      <c r="N199" s="250" t="str">
        <f t="shared" si="26"/>
        <v/>
      </c>
      <c r="O199" s="250" t="str">
        <f t="shared" si="27"/>
        <v/>
      </c>
      <c r="P199" s="252"/>
      <c r="Q199" s="250" t="b">
        <v>0</v>
      </c>
    </row>
    <row r="200" spans="1:17" ht="20" customHeight="1">
      <c r="A200" s="250" t="str">
        <f t="shared" si="21"/>
        <v/>
      </c>
      <c r="B200" s="251"/>
      <c r="C200" s="252"/>
      <c r="D200" s="252"/>
      <c r="E200" s="252"/>
      <c r="F200" s="253"/>
      <c r="G200" s="254"/>
      <c r="H200" s="255"/>
      <c r="I200" s="256" t="str">
        <f t="shared" si="22"/>
        <v/>
      </c>
      <c r="J200" s="256" t="str">
        <f t="shared" si="23"/>
        <v/>
      </c>
      <c r="K200" s="256" t="str">
        <f t="shared" si="24"/>
        <v/>
      </c>
      <c r="L200" s="250" t="str">
        <f t="shared" si="25"/>
        <v/>
      </c>
      <c r="M200" s="257"/>
      <c r="N200" s="250" t="str">
        <f t="shared" si="26"/>
        <v/>
      </c>
      <c r="O200" s="250" t="str">
        <f t="shared" si="27"/>
        <v/>
      </c>
      <c r="P200" s="252"/>
      <c r="Q200" s="250" t="b">
        <v>0</v>
      </c>
    </row>
    <row r="201" spans="1:17" ht="20" customHeight="1">
      <c r="A201" s="250" t="str">
        <f t="shared" si="21"/>
        <v/>
      </c>
      <c r="B201" s="251"/>
      <c r="C201" s="252"/>
      <c r="D201" s="252"/>
      <c r="E201" s="252"/>
      <c r="F201" s="253"/>
      <c r="G201" s="254"/>
      <c r="H201" s="255"/>
      <c r="I201" s="256" t="str">
        <f t="shared" si="22"/>
        <v/>
      </c>
      <c r="J201" s="256" t="str">
        <f t="shared" si="23"/>
        <v/>
      </c>
      <c r="K201" s="256" t="str">
        <f t="shared" si="24"/>
        <v/>
      </c>
      <c r="L201" s="250" t="str">
        <f t="shared" si="25"/>
        <v/>
      </c>
      <c r="M201" s="257"/>
      <c r="N201" s="250" t="str">
        <f t="shared" si="26"/>
        <v/>
      </c>
      <c r="O201" s="250" t="str">
        <f t="shared" si="27"/>
        <v/>
      </c>
      <c r="P201" s="252"/>
      <c r="Q201" s="250" t="b">
        <v>0</v>
      </c>
    </row>
    <row r="202" spans="1:17" ht="20" customHeight="1">
      <c r="A202" s="250" t="str">
        <f t="shared" si="21"/>
        <v/>
      </c>
      <c r="B202" s="251"/>
      <c r="C202" s="252"/>
      <c r="D202" s="252"/>
      <c r="E202" s="252"/>
      <c r="F202" s="253"/>
      <c r="G202" s="254"/>
      <c r="H202" s="255"/>
      <c r="I202" s="256" t="str">
        <f t="shared" si="22"/>
        <v/>
      </c>
      <c r="J202" s="256" t="str">
        <f t="shared" si="23"/>
        <v/>
      </c>
      <c r="K202" s="256" t="str">
        <f t="shared" si="24"/>
        <v/>
      </c>
      <c r="L202" s="250" t="str">
        <f t="shared" si="25"/>
        <v/>
      </c>
      <c r="M202" s="257"/>
      <c r="N202" s="250" t="str">
        <f t="shared" si="26"/>
        <v/>
      </c>
      <c r="O202" s="250" t="str">
        <f t="shared" si="27"/>
        <v/>
      </c>
      <c r="P202" s="252"/>
      <c r="Q202" s="250" t="b">
        <v>0</v>
      </c>
    </row>
    <row r="203" spans="1:17" ht="20" customHeight="1">
      <c r="A203" s="250" t="str">
        <f t="shared" si="21"/>
        <v/>
      </c>
      <c r="B203" s="251"/>
      <c r="C203" s="252"/>
      <c r="D203" s="252"/>
      <c r="E203" s="252"/>
      <c r="F203" s="253"/>
      <c r="G203" s="254"/>
      <c r="H203" s="255"/>
      <c r="I203" s="256" t="str">
        <f t="shared" si="22"/>
        <v/>
      </c>
      <c r="J203" s="256" t="str">
        <f t="shared" si="23"/>
        <v/>
      </c>
      <c r="K203" s="256" t="str">
        <f t="shared" si="24"/>
        <v/>
      </c>
      <c r="L203" s="250" t="str">
        <f t="shared" si="25"/>
        <v/>
      </c>
      <c r="M203" s="257"/>
      <c r="N203" s="250" t="str">
        <f t="shared" si="26"/>
        <v/>
      </c>
      <c r="O203" s="250" t="str">
        <f t="shared" si="27"/>
        <v/>
      </c>
      <c r="P203" s="252"/>
      <c r="Q203" s="250" t="b">
        <v>0</v>
      </c>
    </row>
    <row r="204" spans="1:17" ht="20" customHeight="1">
      <c r="A204" s="250" t="str">
        <f t="shared" si="21"/>
        <v/>
      </c>
      <c r="B204" s="251"/>
      <c r="C204" s="252"/>
      <c r="D204" s="252"/>
      <c r="E204" s="252"/>
      <c r="F204" s="253"/>
      <c r="G204" s="254"/>
      <c r="H204" s="255"/>
      <c r="I204" s="256" t="str">
        <f t="shared" si="22"/>
        <v/>
      </c>
      <c r="J204" s="256" t="str">
        <f t="shared" si="23"/>
        <v/>
      </c>
      <c r="K204" s="256" t="str">
        <f t="shared" si="24"/>
        <v/>
      </c>
      <c r="L204" s="250" t="str">
        <f t="shared" si="25"/>
        <v/>
      </c>
      <c r="M204" s="257"/>
      <c r="N204" s="250" t="str">
        <f t="shared" si="26"/>
        <v/>
      </c>
      <c r="O204" s="250" t="str">
        <f t="shared" si="27"/>
        <v/>
      </c>
      <c r="P204" s="252"/>
      <c r="Q204" s="250" t="b">
        <v>0</v>
      </c>
    </row>
    <row r="205" spans="1:17" ht="20" customHeight="1">
      <c r="A205" s="250" t="str">
        <f t="shared" si="21"/>
        <v/>
      </c>
      <c r="B205" s="251"/>
      <c r="C205" s="252"/>
      <c r="D205" s="252"/>
      <c r="E205" s="252"/>
      <c r="F205" s="253"/>
      <c r="G205" s="254"/>
      <c r="H205" s="255"/>
      <c r="I205" s="256" t="str">
        <f t="shared" si="22"/>
        <v/>
      </c>
      <c r="J205" s="256" t="str">
        <f t="shared" si="23"/>
        <v/>
      </c>
      <c r="K205" s="256" t="str">
        <f t="shared" si="24"/>
        <v/>
      </c>
      <c r="L205" s="250" t="str">
        <f t="shared" si="25"/>
        <v/>
      </c>
      <c r="M205" s="257"/>
      <c r="N205" s="250" t="str">
        <f t="shared" si="26"/>
        <v/>
      </c>
      <c r="O205" s="250" t="str">
        <f t="shared" si="27"/>
        <v/>
      </c>
      <c r="P205" s="252"/>
      <c r="Q205" s="250" t="b">
        <v>0</v>
      </c>
    </row>
    <row r="206" spans="1:17" ht="20" customHeight="1">
      <c r="A206" s="250" t="str">
        <f t="shared" si="21"/>
        <v/>
      </c>
      <c r="B206" s="251"/>
      <c r="C206" s="252"/>
      <c r="D206" s="252"/>
      <c r="E206" s="252"/>
      <c r="F206" s="253"/>
      <c r="G206" s="254"/>
      <c r="H206" s="255"/>
      <c r="I206" s="256" t="str">
        <f t="shared" si="22"/>
        <v/>
      </c>
      <c r="J206" s="256" t="str">
        <f t="shared" si="23"/>
        <v/>
      </c>
      <c r="K206" s="256" t="str">
        <f t="shared" si="24"/>
        <v/>
      </c>
      <c r="L206" s="250" t="str">
        <f t="shared" si="25"/>
        <v/>
      </c>
      <c r="M206" s="257"/>
      <c r="N206" s="250" t="str">
        <f t="shared" si="26"/>
        <v/>
      </c>
      <c r="O206" s="250" t="str">
        <f t="shared" si="27"/>
        <v/>
      </c>
      <c r="P206" s="252"/>
      <c r="Q206" s="250" t="b">
        <v>0</v>
      </c>
    </row>
    <row r="207" spans="1:17" ht="20" customHeight="1">
      <c r="A207" s="250" t="str">
        <f t="shared" si="21"/>
        <v/>
      </c>
      <c r="B207" s="251"/>
      <c r="C207" s="252"/>
      <c r="D207" s="252"/>
      <c r="E207" s="252"/>
      <c r="F207" s="253"/>
      <c r="G207" s="254"/>
      <c r="H207" s="255"/>
      <c r="I207" s="256" t="str">
        <f t="shared" si="22"/>
        <v/>
      </c>
      <c r="J207" s="256" t="str">
        <f t="shared" si="23"/>
        <v/>
      </c>
      <c r="K207" s="256" t="str">
        <f t="shared" si="24"/>
        <v/>
      </c>
      <c r="L207" s="250" t="str">
        <f t="shared" si="25"/>
        <v/>
      </c>
      <c r="M207" s="257"/>
      <c r="N207" s="250" t="str">
        <f t="shared" si="26"/>
        <v/>
      </c>
      <c r="O207" s="250" t="str">
        <f t="shared" si="27"/>
        <v/>
      </c>
      <c r="P207" s="252"/>
      <c r="Q207" s="250" t="b">
        <v>0</v>
      </c>
    </row>
    <row r="208" spans="1:17" ht="20" customHeight="1">
      <c r="A208" s="250" t="str">
        <f t="shared" si="21"/>
        <v/>
      </c>
      <c r="B208" s="251"/>
      <c r="C208" s="252"/>
      <c r="D208" s="252"/>
      <c r="E208" s="252"/>
      <c r="F208" s="253"/>
      <c r="G208" s="254"/>
      <c r="H208" s="255"/>
      <c r="I208" s="256" t="str">
        <f t="shared" si="22"/>
        <v/>
      </c>
      <c r="J208" s="256" t="str">
        <f t="shared" si="23"/>
        <v/>
      </c>
      <c r="K208" s="256" t="str">
        <f t="shared" si="24"/>
        <v/>
      </c>
      <c r="L208" s="250" t="str">
        <f t="shared" si="25"/>
        <v/>
      </c>
      <c r="M208" s="257"/>
      <c r="N208" s="250" t="str">
        <f t="shared" si="26"/>
        <v/>
      </c>
      <c r="O208" s="250" t="str">
        <f t="shared" si="27"/>
        <v/>
      </c>
      <c r="P208" s="252"/>
      <c r="Q208" s="250" t="b">
        <v>0</v>
      </c>
    </row>
    <row r="209" spans="1:17" ht="20" customHeight="1">
      <c r="A209" s="250" t="str">
        <f t="shared" si="21"/>
        <v/>
      </c>
      <c r="B209" s="251"/>
      <c r="C209" s="252"/>
      <c r="D209" s="252"/>
      <c r="E209" s="252"/>
      <c r="F209" s="253"/>
      <c r="G209" s="254"/>
      <c r="H209" s="255"/>
      <c r="I209" s="256" t="str">
        <f t="shared" si="22"/>
        <v/>
      </c>
      <c r="J209" s="256" t="str">
        <f t="shared" si="23"/>
        <v/>
      </c>
      <c r="K209" s="256" t="str">
        <f t="shared" si="24"/>
        <v/>
      </c>
      <c r="L209" s="250" t="str">
        <f t="shared" si="25"/>
        <v/>
      </c>
      <c r="M209" s="257"/>
      <c r="N209" s="250" t="str">
        <f t="shared" si="26"/>
        <v/>
      </c>
      <c r="O209" s="250" t="str">
        <f t="shared" si="27"/>
        <v/>
      </c>
      <c r="P209" s="252"/>
      <c r="Q209" s="250" t="b">
        <v>0</v>
      </c>
    </row>
    <row r="210" spans="1:17" ht="20" customHeight="1">
      <c r="A210" s="250" t="str">
        <f t="shared" si="21"/>
        <v/>
      </c>
      <c r="B210" s="251"/>
      <c r="C210" s="252"/>
      <c r="D210" s="252"/>
      <c r="E210" s="252"/>
      <c r="F210" s="253"/>
      <c r="G210" s="254"/>
      <c r="H210" s="255"/>
      <c r="I210" s="256" t="str">
        <f t="shared" si="22"/>
        <v/>
      </c>
      <c r="J210" s="256" t="str">
        <f t="shared" si="23"/>
        <v/>
      </c>
      <c r="K210" s="256" t="str">
        <f t="shared" si="24"/>
        <v/>
      </c>
      <c r="L210" s="250" t="str">
        <f t="shared" si="25"/>
        <v/>
      </c>
      <c r="M210" s="257"/>
      <c r="N210" s="250" t="str">
        <f t="shared" si="26"/>
        <v/>
      </c>
      <c r="O210" s="250" t="str">
        <f t="shared" si="27"/>
        <v/>
      </c>
      <c r="P210" s="252"/>
      <c r="Q210" s="250" t="b">
        <v>0</v>
      </c>
    </row>
  </sheetData>
  <conditionalFormatting sqref="O2:O210">
    <cfRule type="cellIs" dxfId="5" priority="1" stopIfTrue="1" operator="equal">
      <formula>"Too long"</formula>
    </cfRule>
  </conditionalFormatting>
  <dataValidations count="2">
    <dataValidation type="list" allowBlank="1" showErrorMessage="1" sqref="E2:E210" xr:uid="{00000000-0002-0000-0200-000001000000}">
      <formula1>"Buy,Sell"</formula1>
    </dataValidation>
    <dataValidation type="list" allowBlank="1" showErrorMessage="1" sqref="D2:D210" xr:uid="{00000000-0002-0000-0200-000002000000}">
      <formula1>"ETF,Stock,Treasury bond"</formula1>
    </dataValidation>
  </dataValidations>
  <pageMargins left="0.75" right="0.75" top="1" bottom="1" header="0.5" footer="0.5"/>
  <pageSetup fitToHeight="0" orientation="landscape"/>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Portfolio!$B$20:$B$30</xm:f>
          </x14:formula1>
          <xm:sqref>C2:C210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outlinePr summaryBelow="0" summaryRight="0"/>
    <pageSetUpPr fitToPage="1"/>
  </sheetPr>
  <dimension ref="A1:N30"/>
  <sheetViews>
    <sheetView showGridLines="0" workbookViewId="0" topLeftCell="A1">
      <selection activeCell="B6" sqref="B6"/>
    </sheetView>
  </sheetViews>
  <sheetFormatPr defaultColWidth="12.7109375" defaultRowHeight="15.75" customHeight="1"/>
  <cols>
    <col min="1" max="1" width="9" customWidth="1"/>
    <col min="2" max="2" width="12" customWidth="1"/>
    <col min="3" max="3" width="16" customWidth="1"/>
    <col min="4" max="4" width="26" customWidth="1"/>
    <col min="5" max="5" width="16" customWidth="1"/>
    <col min="6" max="6" width="24" customWidth="1"/>
    <col min="7" max="7" width="66" customWidth="1"/>
    <col min="8" max="8" width="86" customWidth="1"/>
    <col min="9" max="9" width="16" customWidth="1"/>
    <col min="10" max="10" width="22" customWidth="1"/>
    <col min="11" max="11" width="19" customWidth="1"/>
    <col min="12" max="12" width="24" customWidth="1"/>
    <col min="13" max="13" width="34" customWidth="1"/>
    <col min="14" max="14" width="20" customWidth="1"/>
  </cols>
  <sheetData>
    <row r="1" spans="1:14" ht="34.0" customHeight="1">
      <c r="A1" s="258" t="s">
        <v>145</v>
      </c>
      <c r="B1" s="259"/>
      <c r="C1" s="259"/>
      <c r="D1" s="259"/>
      <c r="E1" s="259"/>
      <c r="F1" s="259"/>
      <c r="G1" s="259"/>
      <c r="H1" s="259"/>
      <c r="I1" s="259"/>
      <c r="J1" s="259"/>
      <c r="K1" s="259"/>
      <c r="L1" s="259"/>
      <c r="M1" s="259"/>
      <c r="N1" s="259"/>
    </row>
    <row r="2" spans="1:14" ht="32.0" customHeight="1">
      <c r="A2" s="260" t="s">
        <v>146</v>
      </c>
      <c r="B2" s="259"/>
      <c r="C2" s="259"/>
      <c r="D2" s="259"/>
      <c r="E2" s="259"/>
      <c r="F2" s="259"/>
      <c r="G2" s="259"/>
      <c r="H2" s="259"/>
      <c r="I2" s="259"/>
      <c r="J2" s="259"/>
      <c r="K2" s="259"/>
      <c r="L2" s="259"/>
      <c r="M2" s="259"/>
      <c r="N2" s="259"/>
    </row>
    <row r="3" spans="1:14" ht="20" customHeight="1">
      <c r="A3" s="261"/>
      <c r="B3" s="261"/>
      <c r="C3" s="261"/>
      <c r="D3" s="261"/>
      <c r="E3" s="261"/>
      <c r="F3" s="261"/>
      <c r="G3" s="261"/>
      <c r="H3" s="261"/>
      <c r="I3" s="261"/>
      <c r="J3" s="261"/>
      <c r="K3" s="261"/>
      <c r="L3" s="261"/>
      <c r="M3" s="261"/>
      <c r="N3" s="261"/>
    </row>
    <row r="4" spans="1:14" ht="48.0" customHeight="1">
      <c r="A4" s="262" t="s">
        <v>147</v>
      </c>
      <c r="B4" s="262" t="s">
        <v>130</v>
      </c>
      <c r="C4" s="262" t="s">
        <v>148</v>
      </c>
      <c r="D4" s="262" t="s">
        <v>132</v>
      </c>
      <c r="E4" s="262" t="s">
        <v>133</v>
      </c>
      <c r="F4" s="262" t="s">
        <v>33</v>
      </c>
      <c r="G4" s="262" t="s">
        <v>149</v>
      </c>
      <c r="H4" s="262" t="s">
        <v>150</v>
      </c>
      <c r="I4" s="262" t="s">
        <v>151</v>
      </c>
      <c r="J4" s="262" t="s">
        <v>152</v>
      </c>
      <c r="K4" s="262" t="s">
        <v>153</v>
      </c>
      <c r="L4" s="262" t="s">
        <v>154</v>
      </c>
      <c r="M4" s="262" t="s">
        <v>155</v>
      </c>
      <c r="N4" s="262" t="s">
        <v>156</v>
      </c>
    </row>
    <row r="5" spans="1:14" ht="110.0" customHeight="1">
      <c r="A5" s="263">
        <v>1</v>
      </c>
      <c r="B5" s="264"/>
      <c r="C5" s="265" t="str">
        <f>IF($B5="","",IFERROR(INDEX('Trade Log'!B:B,MATCH($B5,'Trade Log'!$A:$A,0)),"Trade # not found"))</f>
        <v/>
      </c>
      <c r="D5" s="263" t="str">
        <f>IF($B5="","",IFERROR(INDEX('Trade Log'!C:C,MATCH($B5,'Trade Log'!$A:$A,0)),""))</f>
        <v/>
      </c>
      <c r="E5" s="263" t="str">
        <f>IF($B5="","",IFERROR(INDEX('Trade Log'!E:E,MATCH($B5,'Trade Log'!$A:$A,0)),""))</f>
        <v/>
      </c>
      <c r="F5" s="263" t="str">
        <f>IF($B5="","",IFERROR(INDEX('Trade Log'!L:L,MATCH($B5,'Trade Log'!$A:$A,0)),""))</f>
        <v/>
      </c>
      <c r="G5" s="266" t="str">
        <f>IF($B5="","",IFERROR(INDEX('Trade Log'!M:M,MATCH($B5,'Trade Log'!$A:$A,0)),""))</f>
        <v/>
      </c>
      <c r="H5" s="267"/>
      <c r="I5" s="263">
        <f>IF(TRIM(H5)="",0,LEN(TRIM(H5))-LEN(SUBSTITUTE(TRIM(H5)," ",""))+1)</f>
        <v>0</v>
      </c>
      <c r="J5" s="263" t="str">
        <f>IF(H5="","",IF(I5&lt;=100,"OK","Over 100"))</f>
        <v/>
      </c>
      <c r="K5" s="263" t="b">
        <v>0</v>
      </c>
      <c r="L5" s="263" t="b">
        <v>0</v>
      </c>
      <c r="M5" s="263" t="b">
        <v>0</v>
      </c>
      <c r="N5" s="268"/>
    </row>
    <row r="6" spans="1:14" ht="110.0" customHeight="1">
      <c r="A6" s="263">
        <v>2</v>
      </c>
      <c r="B6" s="264"/>
      <c r="C6" s="265" t="str">
        <f>IF($B6="","",IFERROR(INDEX('Trade Log'!B:B,MATCH($B6,'Trade Log'!$A:$A,0)),"Trade # not found"))</f>
        <v/>
      </c>
      <c r="D6" s="263" t="str">
        <f>IF($B6="","",IFERROR(INDEX('Trade Log'!C:C,MATCH($B6,'Trade Log'!$A:$A,0)),""))</f>
        <v/>
      </c>
      <c r="E6" s="263" t="str">
        <f>IF($B6="","",IFERROR(INDEX('Trade Log'!E:E,MATCH($B6,'Trade Log'!$A:$A,0)),""))</f>
        <v/>
      </c>
      <c r="F6" s="263" t="str">
        <f>IF($B6="","",IFERROR(INDEX('Trade Log'!L:L,MATCH($B6,'Trade Log'!$A:$A,0)),""))</f>
        <v/>
      </c>
      <c r="G6" s="266" t="str">
        <f>IF($B6="","",IFERROR(INDEX('Trade Log'!M:M,MATCH($B6,'Trade Log'!$A:$A,0)),""))</f>
        <v/>
      </c>
      <c r="H6" s="267"/>
      <c r="I6" s="263">
        <f>IF(TRIM(H6)="",0,LEN(TRIM(H6))-LEN(SUBSTITUTE(TRIM(H6)," ",""))+1)</f>
        <v>0</v>
      </c>
      <c r="J6" s="263" t="str">
        <f>IF(H6="","",IF(I6&lt;=100,"OK","Over 100"))</f>
        <v/>
      </c>
      <c r="K6" s="263" t="b">
        <v>0</v>
      </c>
      <c r="L6" s="263" t="b">
        <v>0</v>
      </c>
      <c r="M6" s="263" t="b">
        <v>0</v>
      </c>
      <c r="N6" s="268"/>
    </row>
    <row r="7" spans="1:14" ht="110.0" customHeight="1">
      <c r="A7" s="263">
        <v>3</v>
      </c>
      <c r="B7" s="264"/>
      <c r="C7" s="265" t="str">
        <f>IF($B7="","",IFERROR(INDEX('Trade Log'!B:B,MATCH($B7,'Trade Log'!$A:$A,0)),"Trade # not found"))</f>
        <v/>
      </c>
      <c r="D7" s="263" t="str">
        <f>IF($B7="","",IFERROR(INDEX('Trade Log'!C:C,MATCH($B7,'Trade Log'!$A:$A,0)),""))</f>
        <v/>
      </c>
      <c r="E7" s="263" t="str">
        <f>IF($B7="","",IFERROR(INDEX('Trade Log'!E:E,MATCH($B7,'Trade Log'!$A:$A,0)),""))</f>
        <v/>
      </c>
      <c r="F7" s="263" t="str">
        <f>IF($B7="","",IFERROR(INDEX('Trade Log'!L:L,MATCH($B7,'Trade Log'!$A:$A,0)),""))</f>
        <v/>
      </c>
      <c r="G7" s="266" t="str">
        <f>IF($B7="","",IFERROR(INDEX('Trade Log'!M:M,MATCH($B7,'Trade Log'!$A:$A,0)),""))</f>
        <v/>
      </c>
      <c r="H7" s="267"/>
      <c r="I7" s="263">
        <f>IF(TRIM(H7)="",0,LEN(TRIM(H7))-LEN(SUBSTITUTE(TRIM(H7)," ",""))+1)</f>
        <v>0</v>
      </c>
      <c r="J7" s="263" t="str">
        <f>IF(H7="","",IF(I7&lt;=100,"OK","Over 100"))</f>
        <v/>
      </c>
      <c r="K7" s="263" t="b">
        <v>0</v>
      </c>
      <c r="L7" s="263" t="b">
        <v>0</v>
      </c>
      <c r="M7" s="263" t="b">
        <v>0</v>
      </c>
      <c r="N7" s="268"/>
    </row>
    <row r="8" spans="1:14" ht="20" customHeight="1">
      <c r="A8" s="269"/>
      <c r="B8" s="269"/>
      <c r="C8" s="269"/>
      <c r="D8" s="269"/>
      <c r="E8" s="269"/>
      <c r="F8" s="269"/>
      <c r="G8" s="269"/>
      <c r="H8" s="269"/>
      <c r="I8" s="269"/>
      <c r="J8" s="269"/>
      <c r="K8" s="269"/>
      <c r="L8" s="269"/>
      <c r="M8" s="269"/>
      <c r="N8" s="269"/>
    </row>
    <row r="9" spans="1:14" ht="20" customHeight="1">
      <c r="A9" s="269"/>
      <c r="B9" s="269"/>
      <c r="C9" s="269"/>
      <c r="D9" s="269"/>
      <c r="E9" s="269"/>
      <c r="F9" s="269"/>
      <c r="G9" s="269"/>
      <c r="H9" s="269"/>
      <c r="I9" s="269"/>
      <c r="J9" s="269"/>
      <c r="K9" s="269"/>
      <c r="L9" s="269"/>
      <c r="M9" s="269"/>
      <c r="N9" s="269"/>
    </row>
    <row r="10" spans="1:14" ht="20" customHeight="1">
      <c r="A10" s="269"/>
      <c r="B10" s="269"/>
      <c r="C10" s="269"/>
      <c r="D10" s="269"/>
      <c r="E10" s="269"/>
      <c r="F10" s="269"/>
      <c r="G10" s="269"/>
      <c r="H10" s="269"/>
      <c r="I10" s="269"/>
      <c r="J10" s="269"/>
      <c r="K10" s="269"/>
      <c r="L10" s="269"/>
      <c r="M10" s="269"/>
      <c r="N10" s="269"/>
    </row>
    <row r="11" spans="1:14" ht="20" customHeight="1">
      <c r="A11" s="269"/>
      <c r="B11" s="269"/>
      <c r="C11" s="269"/>
      <c r="D11" s="269"/>
      <c r="E11" s="269"/>
      <c r="F11" s="269"/>
      <c r="G11" s="269"/>
      <c r="H11" s="269"/>
      <c r="I11" s="269"/>
      <c r="J11" s="269"/>
      <c r="K11" s="269"/>
      <c r="L11" s="269"/>
      <c r="M11" s="269"/>
      <c r="N11" s="269"/>
    </row>
    <row r="12" spans="1:14" ht="20" customHeight="1">
      <c r="A12" s="269"/>
      <c r="B12" s="269"/>
      <c r="C12" s="269"/>
      <c r="D12" s="269"/>
      <c r="E12" s="269"/>
      <c r="F12" s="269"/>
      <c r="G12" s="269"/>
      <c r="H12" s="269"/>
      <c r="I12" s="269"/>
      <c r="J12" s="269"/>
      <c r="K12" s="269"/>
      <c r="L12" s="269"/>
      <c r="M12" s="269"/>
      <c r="N12" s="269"/>
    </row>
    <row r="13" spans="1:14" ht="20" customHeight="1">
      <c r="A13" s="269"/>
      <c r="B13" s="269"/>
      <c r="C13" s="269"/>
      <c r="D13" s="269"/>
      <c r="E13" s="269"/>
      <c r="F13" s="269"/>
      <c r="G13" s="269"/>
      <c r="H13" s="269"/>
      <c r="I13" s="269"/>
      <c r="J13" s="269"/>
      <c r="K13" s="269"/>
      <c r="L13" s="269"/>
      <c r="M13" s="269"/>
      <c r="N13" s="269"/>
    </row>
    <row r="14" spans="1:14" ht="20" customHeight="1">
      <c r="A14" s="269"/>
      <c r="B14" s="269"/>
      <c r="C14" s="269"/>
      <c r="D14" s="269"/>
      <c r="E14" s="269"/>
      <c r="F14" s="269"/>
      <c r="G14" s="269"/>
      <c r="H14" s="269"/>
      <c r="I14" s="269"/>
      <c r="J14" s="269"/>
      <c r="K14" s="269"/>
      <c r="L14" s="269"/>
      <c r="M14" s="269"/>
      <c r="N14" s="269"/>
    </row>
    <row r="15" spans="1:14" ht="20" customHeight="1">
      <c r="A15" s="269"/>
      <c r="B15" s="269"/>
      <c r="C15" s="269"/>
      <c r="D15" s="269"/>
      <c r="E15" s="269"/>
      <c r="F15" s="269"/>
      <c r="G15" s="269"/>
      <c r="H15" s="269"/>
      <c r="I15" s="269"/>
      <c r="J15" s="269"/>
      <c r="K15" s="269"/>
      <c r="L15" s="269"/>
      <c r="M15" s="269"/>
      <c r="N15" s="269"/>
    </row>
    <row r="16" spans="1:14" ht="20" customHeight="1">
      <c r="A16" s="269"/>
      <c r="B16" s="269"/>
      <c r="C16" s="269"/>
      <c r="D16" s="269"/>
      <c r="E16" s="269"/>
      <c r="F16" s="269"/>
      <c r="G16" s="269"/>
      <c r="H16" s="269"/>
      <c r="I16" s="269"/>
      <c r="J16" s="269"/>
      <c r="K16" s="269"/>
      <c r="L16" s="269"/>
      <c r="M16" s="269"/>
      <c r="N16" s="269"/>
    </row>
    <row r="17" spans="1:14" ht="20" customHeight="1">
      <c r="A17" s="269"/>
      <c r="B17" s="269"/>
      <c r="C17" s="269"/>
      <c r="D17" s="269"/>
      <c r="E17" s="269"/>
      <c r="F17" s="269"/>
      <c r="G17" s="269"/>
      <c r="H17" s="269"/>
      <c r="I17" s="269"/>
      <c r="J17" s="269"/>
      <c r="K17" s="269"/>
      <c r="L17" s="269"/>
      <c r="M17" s="269"/>
      <c r="N17" s="269"/>
    </row>
    <row r="18" spans="1:14" ht="20" customHeight="1">
      <c r="A18" s="269"/>
      <c r="B18" s="269"/>
      <c r="C18" s="269"/>
      <c r="D18" s="269"/>
      <c r="E18" s="269"/>
      <c r="F18" s="269"/>
      <c r="G18" s="269"/>
      <c r="H18" s="269"/>
      <c r="I18" s="269"/>
      <c r="J18" s="269"/>
      <c r="K18" s="269"/>
      <c r="L18" s="269"/>
      <c r="M18" s="269"/>
      <c r="N18" s="269"/>
    </row>
    <row r="19" spans="1:14" ht="20" customHeight="1">
      <c r="A19" s="269"/>
      <c r="B19" s="269"/>
      <c r="C19" s="269"/>
      <c r="D19" s="269"/>
      <c r="E19" s="269"/>
      <c r="F19" s="269"/>
      <c r="G19" s="269"/>
      <c r="H19" s="269"/>
      <c r="I19" s="269"/>
      <c r="J19" s="269"/>
      <c r="K19" s="269"/>
      <c r="L19" s="269"/>
      <c r="M19" s="269"/>
      <c r="N19" s="269"/>
    </row>
    <row r="20" spans="1:14" ht="20" customHeight="1">
      <c r="A20" s="269"/>
      <c r="B20" s="269"/>
      <c r="C20" s="269"/>
      <c r="D20" s="269"/>
      <c r="E20" s="269"/>
      <c r="F20" s="269"/>
      <c r="G20" s="269"/>
      <c r="H20" s="269"/>
      <c r="I20" s="269"/>
      <c r="J20" s="269"/>
      <c r="K20" s="269"/>
      <c r="L20" s="269"/>
      <c r="M20" s="269"/>
      <c r="N20" s="269"/>
    </row>
    <row r="21" spans="1:14" ht="20" customHeight="1">
      <c r="A21" s="269"/>
      <c r="B21" s="269"/>
      <c r="C21" s="269"/>
      <c r="D21" s="269"/>
      <c r="E21" s="269"/>
      <c r="F21" s="269"/>
      <c r="G21" s="269"/>
      <c r="H21" s="269"/>
      <c r="I21" s="269"/>
      <c r="J21" s="269"/>
      <c r="K21" s="269"/>
      <c r="L21" s="269"/>
      <c r="M21" s="269"/>
      <c r="N21" s="269"/>
    </row>
    <row r="22" spans="1:14" ht="20" customHeight="1">
      <c r="A22" s="269"/>
      <c r="B22" s="269"/>
      <c r="C22" s="269"/>
      <c r="D22" s="269"/>
      <c r="E22" s="269"/>
      <c r="F22" s="269"/>
      <c r="G22" s="269"/>
      <c r="H22" s="269"/>
      <c r="I22" s="269"/>
      <c r="J22" s="269"/>
      <c r="K22" s="269"/>
      <c r="L22" s="269"/>
      <c r="M22" s="269"/>
      <c r="N22" s="269"/>
    </row>
    <row r="23" spans="1:14" ht="20" customHeight="1">
      <c r="A23" s="269"/>
      <c r="B23" s="269"/>
      <c r="C23" s="269"/>
      <c r="D23" s="269"/>
      <c r="E23" s="269"/>
      <c r="F23" s="269"/>
      <c r="G23" s="269"/>
      <c r="H23" s="269"/>
      <c r="I23" s="269"/>
      <c r="J23" s="269"/>
      <c r="K23" s="269"/>
      <c r="L23" s="269"/>
      <c r="M23" s="269"/>
      <c r="N23" s="269"/>
    </row>
    <row r="24" spans="1:14" ht="20" customHeight="1">
      <c r="A24" s="269"/>
      <c r="B24" s="269"/>
      <c r="C24" s="269"/>
      <c r="D24" s="269"/>
      <c r="E24" s="269"/>
      <c r="F24" s="269"/>
      <c r="G24" s="269"/>
      <c r="H24" s="269"/>
      <c r="I24" s="269"/>
      <c r="J24" s="269"/>
      <c r="K24" s="269"/>
      <c r="L24" s="269"/>
      <c r="M24" s="269"/>
      <c r="N24" s="269"/>
    </row>
    <row r="25" spans="1:14" ht="20" customHeight="1">
      <c r="A25" s="269"/>
      <c r="B25" s="269"/>
      <c r="C25" s="269"/>
      <c r="D25" s="269"/>
      <c r="E25" s="269"/>
      <c r="F25" s="269"/>
      <c r="G25" s="269"/>
      <c r="H25" s="269"/>
      <c r="I25" s="269"/>
      <c r="J25" s="269"/>
      <c r="K25" s="269"/>
      <c r="L25" s="269"/>
      <c r="M25" s="269"/>
      <c r="N25" s="269"/>
    </row>
    <row r="26" spans="1:14" ht="20" customHeight="1">
      <c r="A26" s="269"/>
      <c r="B26" s="269"/>
      <c r="C26" s="269"/>
      <c r="D26" s="269"/>
      <c r="E26" s="269"/>
      <c r="F26" s="269"/>
      <c r="G26" s="269"/>
      <c r="H26" s="269"/>
      <c r="I26" s="269"/>
      <c r="J26" s="269"/>
      <c r="K26" s="269"/>
      <c r="L26" s="269"/>
      <c r="M26" s="269"/>
      <c r="N26" s="269"/>
    </row>
    <row r="27" spans="1:14" ht="20" customHeight="1">
      <c r="A27" s="269"/>
      <c r="B27" s="269"/>
      <c r="C27" s="269"/>
      <c r="D27" s="269"/>
      <c r="E27" s="269"/>
      <c r="F27" s="269"/>
      <c r="G27" s="269"/>
      <c r="H27" s="269"/>
      <c r="I27" s="269"/>
      <c r="J27" s="269"/>
      <c r="K27" s="269"/>
      <c r="L27" s="269"/>
      <c r="M27" s="269"/>
      <c r="N27" s="269"/>
    </row>
    <row r="28" spans="1:14" ht="20" customHeight="1">
      <c r="A28" s="269"/>
      <c r="B28" s="269"/>
      <c r="C28" s="269"/>
      <c r="D28" s="269"/>
      <c r="E28" s="269"/>
      <c r="F28" s="269"/>
      <c r="G28" s="269"/>
      <c r="H28" s="269"/>
      <c r="I28" s="269"/>
      <c r="J28" s="269"/>
      <c r="K28" s="269"/>
      <c r="L28" s="269"/>
      <c r="M28" s="269"/>
      <c r="N28" s="269"/>
    </row>
    <row r="29" spans="1:14" ht="20" customHeight="1">
      <c r="A29" s="269"/>
      <c r="B29" s="269"/>
      <c r="C29" s="269"/>
      <c r="D29" s="269"/>
      <c r="E29" s="269"/>
      <c r="F29" s="269"/>
      <c r="G29" s="269"/>
      <c r="H29" s="269"/>
      <c r="I29" s="269"/>
      <c r="J29" s="269"/>
      <c r="K29" s="269"/>
      <c r="L29" s="269"/>
      <c r="M29" s="269"/>
      <c r="N29" s="269"/>
    </row>
    <row r="30" spans="1:14" ht="20" customHeight="1">
      <c r="A30" s="269"/>
      <c r="B30" s="269"/>
      <c r="C30" s="269"/>
      <c r="D30" s="269"/>
      <c r="E30" s="269"/>
      <c r="F30" s="269"/>
      <c r="G30" s="269"/>
      <c r="H30" s="269"/>
      <c r="I30" s="269"/>
      <c r="J30" s="269"/>
      <c r="K30" s="269"/>
      <c r="L30" s="269"/>
      <c r="M30" s="269"/>
      <c r="N30" s="269"/>
    </row>
  </sheetData>
  <mergeCells count="2">
    <mergeCell ref="A1:N1"/>
    <mergeCell ref="A2:N2"/>
  </mergeCells>
  <conditionalFormatting sqref="J5:J7">
    <cfRule type="cellIs" dxfId="4" priority="1" stopIfTrue="1" operator="equal">
      <formula>"Over 100"</formula>
    </cfRule>
  </conditionalFormatting>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F7F7F"/>
    <outlinePr summaryBelow="0" summaryRight="0"/>
    <pageSetUpPr fitToPage="1"/>
  </sheetPr>
  <dimension ref="A1:D40"/>
  <sheetViews>
    <sheetView showGridLines="0" workbookViewId="0" topLeftCell="A1">
      <selection/>
    </sheetView>
  </sheetViews>
  <sheetFormatPr defaultColWidth="12.7109375" defaultRowHeight="15.75" customHeight="1"/>
  <cols>
    <col min="1" max="1" width="30" customWidth="1"/>
    <col min="2" max="2" width="66" customWidth="1"/>
    <col min="3" max="3" width="30" customWidth="1"/>
    <col min="4" max="4" width="62" customWidth="1"/>
  </cols>
  <sheetData>
    <row r="1" spans="1:4" ht="34.0" customHeight="1">
      <c r="A1" s="270" t="s">
        <v>157</v>
      </c>
      <c r="B1" s="271"/>
      <c r="C1" s="271"/>
      <c r="D1" s="271"/>
    </row>
    <row r="2" spans="1:4" ht="32.0" customHeight="1">
      <c r="A2" s="272" t="s">
        <v>158</v>
      </c>
      <c r="B2" s="271"/>
      <c r="C2" s="271"/>
      <c r="D2" s="271"/>
    </row>
    <row r="3" spans="1:4" ht="20" customHeight="1">
      <c r="A3" s="271"/>
      <c r="B3" s="271"/>
      <c r="C3" s="271"/>
      <c r="D3" s="271"/>
    </row>
    <row r="4" spans="1:4" ht="34.0" customHeight="1">
      <c r="A4" s="273" t="s">
        <v>159</v>
      </c>
      <c r="B4" s="273" t="s">
        <v>160</v>
      </c>
      <c r="C4" s="273" t="s">
        <v>161</v>
      </c>
      <c r="D4" s="273" t="s">
        <v>162</v>
      </c>
    </row>
    <row r="5" spans="1:4" ht="24.0" customHeight="1">
      <c r="A5" s="274" t="s">
        <v>163</v>
      </c>
      <c r="B5" s="266" t="s">
        <v>164</v>
      </c>
      <c r="C5" s="266" t="s">
        <v>16</v>
      </c>
      <c r="D5" s="266" t="s">
        <v>165</v>
      </c>
    </row>
    <row r="6" spans="1:4" ht="20" customHeight="1">
      <c r="A6" s="274" t="s">
        <v>166</v>
      </c>
      <c r="B6" s="266" t="s">
        <v>167</v>
      </c>
      <c r="C6" s="266" t="s">
        <v>16</v>
      </c>
      <c r="D6" s="266" t="s">
        <v>168</v>
      </c>
    </row>
    <row r="7" spans="1:4" ht="20" customHeight="1">
      <c r="A7" s="274" t="s">
        <v>169</v>
      </c>
      <c r="B7" s="266" t="s">
        <v>170</v>
      </c>
      <c r="C7" s="266" t="s">
        <v>171</v>
      </c>
      <c r="D7" s="266" t="s">
        <v>172</v>
      </c>
    </row>
    <row r="8" spans="1:4" ht="20" customHeight="1">
      <c r="A8" s="274" t="s">
        <v>173</v>
      </c>
      <c r="B8" s="266" t="s">
        <v>174</v>
      </c>
      <c r="C8" s="266" t="s">
        <v>16</v>
      </c>
      <c r="D8" s="266" t="s">
        <v>175</v>
      </c>
    </row>
    <row r="9" spans="1:4" ht="24.0" customHeight="1">
      <c r="A9" s="274" t="s">
        <v>176</v>
      </c>
      <c r="B9" s="266" t="s">
        <v>177</v>
      </c>
      <c r="C9" s="266" t="s">
        <v>16</v>
      </c>
      <c r="D9" s="266" t="s">
        <v>178</v>
      </c>
    </row>
    <row r="10" spans="1:4" ht="20" customHeight="1">
      <c r="A10" s="274" t="s">
        <v>179</v>
      </c>
      <c r="B10" s="275">
        <v>3</v>
      </c>
      <c r="C10" s="266" t="s">
        <v>16</v>
      </c>
      <c r="D10" s="266" t="s">
        <v>180</v>
      </c>
    </row>
    <row r="11" spans="1:4" ht="20" customHeight="1">
      <c r="A11" s="274" t="s">
        <v>181</v>
      </c>
      <c r="B11" s="266" t="s">
        <v>174</v>
      </c>
      <c r="C11" s="266" t="s">
        <v>16</v>
      </c>
      <c r="D11" s="266" t="s">
        <v>182</v>
      </c>
    </row>
    <row r="12" spans="1:4" ht="20" customHeight="1">
      <c r="A12" s="274" t="s">
        <v>183</v>
      </c>
      <c r="B12" s="266" t="s">
        <v>184</v>
      </c>
      <c r="C12" s="266" t="s">
        <v>16</v>
      </c>
      <c r="D12" s="266" t="s">
        <v>185</v>
      </c>
    </row>
    <row r="13" spans="1:4" ht="24.0" customHeight="1">
      <c r="A13" s="274" t="s">
        <v>186</v>
      </c>
      <c r="B13" s="266" t="s">
        <v>187</v>
      </c>
      <c r="C13" s="266" t="s">
        <v>16</v>
      </c>
      <c r="D13" s="266" t="s">
        <v>188</v>
      </c>
    </row>
    <row r="14" spans="1:4" ht="20" customHeight="1">
      <c r="A14" s="274" t="s">
        <v>189</v>
      </c>
      <c r="B14" s="266" t="s">
        <v>190</v>
      </c>
      <c r="C14" s="266" t="s">
        <v>191</v>
      </c>
      <c r="D14" s="266" t="s">
        <v>192</v>
      </c>
    </row>
    <row r="15" spans="1:4" ht="24.0" customHeight="1">
      <c r="A15" s="274" t="s">
        <v>193</v>
      </c>
      <c r="B15" s="266" t="s">
        <v>194</v>
      </c>
      <c r="C15" s="266" t="s">
        <v>195</v>
      </c>
      <c r="D15" s="266" t="s">
        <v>196</v>
      </c>
    </row>
    <row r="16" spans="1:4" ht="24.0" customHeight="1">
      <c r="A16" s="274" t="s">
        <v>197</v>
      </c>
      <c r="B16" s="266" t="s">
        <v>198</v>
      </c>
      <c r="C16" s="266" t="s">
        <v>199</v>
      </c>
      <c r="D16" s="266" t="s">
        <v>200</v>
      </c>
    </row>
    <row r="17" spans="1:4" ht="24.0" customHeight="1">
      <c r="A17" s="274" t="s">
        <v>201</v>
      </c>
      <c r="B17" s="266" t="s">
        <v>202</v>
      </c>
      <c r="C17" s="266" t="s">
        <v>203</v>
      </c>
      <c r="D17" s="266" t="s">
        <v>204</v>
      </c>
    </row>
    <row r="18" spans="1:4" ht="24.0" customHeight="1">
      <c r="A18" s="274" t="s">
        <v>205</v>
      </c>
      <c r="B18" s="266" t="s">
        <v>206</v>
      </c>
      <c r="C18" s="266" t="s">
        <v>207</v>
      </c>
      <c r="D18" s="266" t="s">
        <v>208</v>
      </c>
    </row>
    <row r="19" spans="1:4" ht="24.0" customHeight="1">
      <c r="A19" s="274" t="s">
        <v>209</v>
      </c>
      <c r="B19" s="266" t="s">
        <v>210</v>
      </c>
      <c r="C19" s="266" t="s">
        <v>211</v>
      </c>
      <c r="D19" s="266" t="s">
        <v>212</v>
      </c>
    </row>
    <row r="20" spans="1:4" ht="24.0" customHeight="1">
      <c r="A20" s="274" t="s">
        <v>213</v>
      </c>
      <c r="B20" s="266" t="s">
        <v>214</v>
      </c>
      <c r="C20" s="266" t="s">
        <v>215</v>
      </c>
      <c r="D20" s="266" t="s">
        <v>216</v>
      </c>
    </row>
    <row r="21" spans="1:4" ht="20" customHeight="1">
      <c r="A21" s="276"/>
      <c r="B21" s="276"/>
      <c r="C21" s="276"/>
      <c r="D21" s="276"/>
    </row>
    <row r="22" spans="1:4" ht="20" customHeight="1">
      <c r="A22" s="266" t="s">
        <v>132</v>
      </c>
      <c r="B22" s="266" t="s">
        <v>217</v>
      </c>
      <c r="C22" s="277" t="s">
        <v>218</v>
      </c>
      <c r="D22" s="278" t="s">
        <v>219</v>
      </c>
    </row>
    <row r="23" spans="1:4" ht="20" customHeight="1">
      <c r="A23" s="266" t="s">
        <v>220</v>
      </c>
      <c r="B23" s="266" t="s">
        <v>221</v>
      </c>
      <c r="C23" s="277">
        <v>89.53</v>
      </c>
      <c r="D23" s="278">
        <v>11367342</v>
      </c>
    </row>
    <row r="24" spans="1:4" ht="20" customHeight="1">
      <c r="A24" s="266" t="s">
        <v>222</v>
      </c>
      <c r="B24" s="266" t="s">
        <v>223</v>
      </c>
      <c r="C24" s="277">
        <v>92.75</v>
      </c>
      <c r="D24" s="278">
        <v>4450770</v>
      </c>
    </row>
    <row r="25" spans="1:4" ht="20" customHeight="1">
      <c r="A25" s="266" t="s">
        <v>44</v>
      </c>
      <c r="B25" s="266" t="s">
        <v>224</v>
      </c>
      <c r="C25" s="277">
        <v>21.76</v>
      </c>
      <c r="D25" s="278">
        <v>268076</v>
      </c>
    </row>
    <row r="26" spans="1:4" ht="20" customHeight="1">
      <c r="A26" s="266" t="s">
        <v>72</v>
      </c>
      <c r="B26" s="266" t="s">
        <v>225</v>
      </c>
      <c r="C26" s="277">
        <v>158.81</v>
      </c>
      <c r="D26" s="278">
        <v>2631243</v>
      </c>
    </row>
    <row r="27" spans="1:4" ht="20" customHeight="1">
      <c r="A27" s="266" t="s">
        <v>226</v>
      </c>
      <c r="B27" s="266" t="s">
        <v>227</v>
      </c>
      <c r="C27" s="277">
        <v>56.7</v>
      </c>
      <c r="D27" s="278">
        <v>4616404</v>
      </c>
    </row>
    <row r="28" spans="1:4" ht="20" customHeight="1">
      <c r="A28" s="266" t="s">
        <v>228</v>
      </c>
      <c r="B28" s="266" t="s">
        <v>229</v>
      </c>
      <c r="C28" s="277">
        <v>27.3</v>
      </c>
      <c r="D28" s="278">
        <v>3239327</v>
      </c>
    </row>
    <row r="29" spans="1:4" ht="20" customHeight="1">
      <c r="A29" s="266" t="s">
        <v>230</v>
      </c>
      <c r="B29" s="266" t="s">
        <v>231</v>
      </c>
      <c r="C29" s="277">
        <v>375.84</v>
      </c>
      <c r="D29" s="278">
        <v>3940404</v>
      </c>
    </row>
    <row r="30" spans="1:4" ht="20" customHeight="1">
      <c r="A30" s="266" t="s">
        <v>232</v>
      </c>
      <c r="B30" s="266" t="s">
        <v>233</v>
      </c>
      <c r="C30" s="277">
        <v>85.75</v>
      </c>
      <c r="D30" s="278">
        <v>6666961</v>
      </c>
    </row>
    <row r="31" spans="1:4" ht="20" customHeight="1">
      <c r="A31" s="266" t="s">
        <v>234</v>
      </c>
      <c r="B31" s="266" t="s">
        <v>235</v>
      </c>
      <c r="C31" s="277">
        <v>78.62</v>
      </c>
      <c r="D31" s="278">
        <v>63463430</v>
      </c>
    </row>
    <row r="32" spans="1:4" ht="20" customHeight="1">
      <c r="A32" s="266" t="s">
        <v>236</v>
      </c>
      <c r="B32" s="266" t="s">
        <v>237</v>
      </c>
      <c r="C32" s="277">
        <v>24.06</v>
      </c>
      <c r="D32" s="278">
        <v>15539399</v>
      </c>
    </row>
    <row r="33" spans="1:4" ht="20" customHeight="1">
      <c r="A33" s="266" t="s">
        <v>238</v>
      </c>
      <c r="B33" s="266" t="s">
        <v>239</v>
      </c>
      <c r="C33" s="277">
        <v>100.67</v>
      </c>
      <c r="D33" s="278">
        <v>20998859</v>
      </c>
    </row>
    <row r="34" spans="1:4" ht="20" customHeight="1">
      <c r="A34" s="279"/>
      <c r="B34" s="279"/>
      <c r="C34" s="279"/>
      <c r="D34" s="279"/>
    </row>
    <row r="35" spans="1:4" ht="20" customHeight="1">
      <c r="A35" s="279"/>
      <c r="B35" s="279"/>
      <c r="C35" s="279"/>
      <c r="D35" s="279"/>
    </row>
    <row r="36" spans="1:4" ht="20" customHeight="1">
      <c r="A36" s="279"/>
      <c r="B36" s="279"/>
      <c r="C36" s="279"/>
      <c r="D36" s="279"/>
    </row>
    <row r="37" spans="1:4" ht="20" customHeight="1">
      <c r="A37" s="279"/>
      <c r="B37" s="279"/>
      <c r="C37" s="279"/>
      <c r="D37" s="279"/>
    </row>
    <row r="38" spans="1:4" ht="20" customHeight="1">
      <c r="A38" s="279"/>
      <c r="B38" s="279"/>
      <c r="C38" s="279"/>
      <c r="D38" s="279"/>
    </row>
    <row r="39" spans="1:4" ht="20" customHeight="1">
      <c r="A39" s="279"/>
      <c r="B39" s="279"/>
      <c r="C39" s="279"/>
      <c r="D39" s="279"/>
    </row>
    <row r="40" spans="1:4" ht="20" customHeight="1">
      <c r="A40" s="279"/>
      <c r="B40" s="279"/>
      <c r="C40" s="279"/>
      <c r="D40" s="279"/>
    </row>
  </sheetData>
  <mergeCells count="2">
    <mergeCell ref="A1:D1"/>
    <mergeCell ref="A2:D2"/>
  </mergeCells>
  <pageMargins left="0.75" right="0.75" top="1" bottom="1" header="0.5" footer="0.5"/>
  <pageSetup fitToHeight="0"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48235"/>
    <outlinePr summaryBelow="0" summaryRight="0"/>
    <pageSetUpPr fitToPage="1"/>
  </sheetPr>
  <dimension ref="A1:AF60"/>
  <sheetViews>
    <sheetView showGridLines="0" zoomScale="113" workbookViewId="0" topLeftCell="A1">
      <selection activeCell="E11" sqref="E11"/>
    </sheetView>
  </sheetViews>
  <sheetFormatPr defaultColWidth="12.7109375" defaultRowHeight="15.75" customHeight="1"/>
  <cols>
    <col min="1" max="1" width="16" style="47" customWidth="1"/>
    <col min="2" max="2" width="12" style="47" customWidth="1"/>
    <col min="3" max="3" width="29" style="47" customWidth="1"/>
    <col min="4" max="4" width="18" style="47" customWidth="1"/>
    <col min="5" max="5" width="42" style="47" customWidth="1"/>
    <col min="6" max="6" width="34" style="47" customWidth="1"/>
    <col min="7" max="7" width="18" style="47" customWidth="1"/>
    <col min="8" max="8" width="40" style="47" customWidth="1"/>
    <col min="9" max="9" width="18" style="47" customWidth="1"/>
    <col min="10" max="10" width="34" style="47" customWidth="1"/>
    <col min="11" max="11" width="20" style="47" customWidth="1"/>
    <col min="12" max="12" width="18" style="47" customWidth="1"/>
    <col min="13" max="13" width="42" style="47" customWidth="1"/>
    <col min="14" max="14" width="24" style="47" customWidth="1"/>
    <col min="15" max="15" width="24" style="47" customWidth="1"/>
    <col min="16" max="16" width="19" style="47" customWidth="1"/>
    <col min="17" max="17" width="24" style="47" customWidth="1"/>
    <col min="18" max="18" width="24" style="47" customWidth="1"/>
    <col min="19" max="19" width="24" style="47" customWidth="1"/>
    <col min="20" max="20" width="22" style="47" customWidth="1"/>
    <col min="21" max="21" width="24" style="47" customWidth="1"/>
    <col min="22" max="22" width="24" style="47" customWidth="1"/>
    <col min="23" max="23" width="24" style="47" customWidth="1"/>
    <col min="24" max="24" width="24" style="47" customWidth="1"/>
    <col min="25" max="25" width="22" style="47" customWidth="1"/>
    <col min="26" max="26" width="25" style="47" customWidth="1"/>
    <col min="27" max="27" width="28" style="47" customWidth="1"/>
    <col min="28" max="28" width="60" style="47" customWidth="1"/>
    <col min="29" max="29" width="70" style="47" customWidth="1"/>
    <col min="30" max="30" width="60" style="47" customWidth="1"/>
    <col min="31" max="31" width="30" style="47" customWidth="1"/>
    <col min="32" max="32" width="40.140625" style="47" customWidth="1"/>
    <col min="33" max="16384" width="12.7109375" style="47"/>
  </cols>
  <sheetData>
    <row r="1" spans="1:32" ht="34.0" customHeight="1">
      <c r="A1" s="280" t="s">
        <v>240</v>
      </c>
      <c r="B1" s="281"/>
      <c r="C1" s="281"/>
      <c r="D1" s="281"/>
      <c r="E1" s="281"/>
      <c r="F1" s="281"/>
      <c r="G1" s="281"/>
      <c r="H1" s="281"/>
      <c r="I1" s="281"/>
      <c r="J1" s="281"/>
      <c r="K1" s="281"/>
      <c r="L1" s="281"/>
      <c r="M1" s="281"/>
      <c r="N1" s="282"/>
      <c r="O1" s="282"/>
      <c r="P1" s="282"/>
      <c r="Q1" s="282"/>
      <c r="R1" s="282"/>
      <c r="S1" s="282"/>
      <c r="T1" s="282"/>
      <c r="U1" s="282"/>
      <c r="V1" s="282"/>
      <c r="W1" s="282"/>
      <c r="X1" s="282"/>
      <c r="Y1" s="282"/>
      <c r="Z1" s="282"/>
      <c r="AA1" s="282"/>
      <c r="AB1" s="282"/>
      <c r="AC1" s="282"/>
      <c r="AD1" s="282"/>
      <c r="AE1" s="282"/>
      <c r="AF1" s="283"/>
    </row>
    <row r="2" spans="1:32" ht="40.0" customHeight="1">
      <c r="A2" s="284" t="s">
        <v>241</v>
      </c>
      <c r="B2" s="281"/>
      <c r="C2" s="281"/>
      <c r="D2" s="281"/>
      <c r="E2" s="281"/>
      <c r="F2" s="281"/>
      <c r="G2" s="281"/>
      <c r="H2" s="281"/>
      <c r="I2" s="281"/>
      <c r="J2" s="281"/>
      <c r="K2" s="281"/>
      <c r="L2" s="281"/>
      <c r="M2" s="281"/>
      <c r="N2" s="282"/>
      <c r="O2" s="282"/>
      <c r="P2" s="282"/>
      <c r="Q2" s="282"/>
      <c r="R2" s="282"/>
      <c r="S2" s="282"/>
      <c r="T2" s="282"/>
      <c r="U2" s="282"/>
      <c r="V2" s="282"/>
      <c r="W2" s="282"/>
      <c r="X2" s="282"/>
      <c r="Y2" s="282"/>
      <c r="Z2" s="282"/>
      <c r="AA2" s="282"/>
      <c r="AB2" s="282"/>
      <c r="AC2" s="282"/>
      <c r="AD2" s="282"/>
      <c r="AE2" s="282"/>
      <c r="AF2" s="283"/>
    </row>
    <row r="3" spans="1:32" ht="42.0" customHeight="1">
      <c r="A3" s="285" t="s">
        <v>242</v>
      </c>
      <c r="B3" s="285" t="s">
        <v>243</v>
      </c>
      <c r="C3" s="282"/>
      <c r="D3" s="282"/>
      <c r="E3" s="282"/>
      <c r="F3" s="282"/>
      <c r="G3" s="282"/>
      <c r="H3" s="282"/>
      <c r="I3" s="282"/>
      <c r="J3" s="282"/>
      <c r="K3" s="282"/>
      <c r="L3" s="282"/>
      <c r="M3" s="282"/>
      <c r="N3" s="282"/>
      <c r="O3" s="282"/>
      <c r="P3" s="282"/>
      <c r="Q3" s="282"/>
      <c r="R3" s="282"/>
      <c r="S3" s="282"/>
      <c r="T3" s="282"/>
      <c r="U3" s="282"/>
      <c r="V3" s="282"/>
      <c r="W3" s="282"/>
      <c r="X3" s="282"/>
      <c r="Y3" s="282"/>
      <c r="Z3" s="282"/>
      <c r="AA3" s="282"/>
      <c r="AB3" s="282"/>
      <c r="AC3" s="282"/>
      <c r="AD3" s="282"/>
      <c r="AE3" s="282"/>
      <c r="AF3" s="283"/>
    </row>
    <row r="4" spans="1:32" ht="24.0" customHeight="1">
      <c r="A4" s="281" t="s">
        <v>244</v>
      </c>
      <c r="B4" s="286">
        <v>300000</v>
      </c>
      <c r="C4" s="282"/>
      <c r="D4" s="282"/>
      <c r="E4" s="282"/>
      <c r="F4" s="282"/>
      <c r="G4" s="282"/>
      <c r="H4" s="282"/>
      <c r="I4" s="282"/>
      <c r="J4" s="282"/>
      <c r="K4" s="282"/>
      <c r="L4" s="282"/>
      <c r="M4" s="282"/>
      <c r="N4" s="282"/>
      <c r="O4" s="282"/>
      <c r="P4" s="282"/>
      <c r="Q4" s="282"/>
      <c r="R4" s="282"/>
      <c r="S4" s="282"/>
      <c r="T4" s="282"/>
      <c r="U4" s="282"/>
      <c r="V4" s="282"/>
      <c r="W4" s="282"/>
      <c r="X4" s="282"/>
      <c r="Y4" s="282"/>
      <c r="Z4" s="282"/>
      <c r="AA4" s="282"/>
      <c r="AB4" s="282"/>
      <c r="AC4" s="282"/>
      <c r="AD4" s="282"/>
      <c r="AE4" s="282"/>
      <c r="AF4" s="283"/>
    </row>
    <row r="5" spans="1:32" ht="36.0" customHeight="1">
      <c r="A5" s="281" t="s">
        <v>245</v>
      </c>
      <c r="B5" s="286">
        <v>25</v>
      </c>
      <c r="C5" s="282"/>
      <c r="D5" s="282"/>
      <c r="E5" s="282"/>
      <c r="F5" s="282"/>
      <c r="G5" s="282"/>
      <c r="H5" s="282"/>
      <c r="I5" s="282"/>
      <c r="J5" s="282"/>
      <c r="K5" s="282"/>
      <c r="L5" s="282"/>
      <c r="M5" s="282"/>
      <c r="N5" s="282"/>
      <c r="O5" s="282"/>
      <c r="P5" s="282"/>
      <c r="Q5" s="282"/>
      <c r="R5" s="282"/>
      <c r="S5" s="282"/>
      <c r="T5" s="282"/>
      <c r="U5" s="282"/>
      <c r="V5" s="282"/>
      <c r="W5" s="282"/>
      <c r="X5" s="282"/>
      <c r="Y5" s="282"/>
      <c r="Z5" s="282"/>
      <c r="AA5" s="282"/>
      <c r="AB5" s="282"/>
      <c r="AC5" s="282"/>
      <c r="AD5" s="282"/>
      <c r="AE5" s="282"/>
      <c r="AF5" s="283"/>
    </row>
    <row r="6" spans="1:32" ht="24.0" customHeight="1">
      <c r="A6" s="281" t="s">
        <v>246</v>
      </c>
      <c r="B6" s="286">
        <v>10</v>
      </c>
      <c r="C6" s="282"/>
      <c r="D6" s="282"/>
      <c r="E6" s="282"/>
      <c r="F6" s="282"/>
      <c r="G6" s="282"/>
      <c r="H6" s="282"/>
      <c r="I6" s="282"/>
      <c r="J6" s="282"/>
      <c r="K6" s="282"/>
      <c r="L6" s="282"/>
      <c r="M6" s="282"/>
      <c r="N6" s="282"/>
      <c r="O6" s="282"/>
      <c r="P6" s="282"/>
      <c r="Q6" s="282"/>
      <c r="R6" s="282"/>
      <c r="S6" s="282"/>
      <c r="T6" s="282"/>
      <c r="U6" s="282"/>
      <c r="V6" s="282"/>
      <c r="W6" s="282"/>
      <c r="X6" s="282"/>
      <c r="Y6" s="282"/>
      <c r="Z6" s="282"/>
      <c r="AA6" s="282"/>
      <c r="AB6" s="282"/>
      <c r="AC6" s="282"/>
      <c r="AD6" s="282"/>
      <c r="AE6" s="282"/>
      <c r="AF6" s="283"/>
    </row>
    <row r="7" spans="1:32" ht="36.0" customHeight="1">
      <c r="A7" s="281" t="s">
        <v>247</v>
      </c>
      <c r="B7" s="286">
        <v>1000</v>
      </c>
      <c r="C7" s="282"/>
      <c r="D7" s="282"/>
      <c r="E7" s="282"/>
      <c r="F7" s="282"/>
      <c r="G7" s="282"/>
      <c r="H7" s="282"/>
      <c r="I7" s="282"/>
      <c r="J7" s="282"/>
      <c r="K7" s="282"/>
      <c r="L7" s="282"/>
      <c r="M7" s="282"/>
      <c r="N7" s="282"/>
      <c r="O7" s="282"/>
      <c r="P7" s="282"/>
      <c r="Q7" s="282"/>
      <c r="R7" s="282"/>
      <c r="S7" s="282"/>
      <c r="T7" s="282"/>
      <c r="U7" s="282"/>
      <c r="V7" s="282"/>
      <c r="W7" s="282"/>
      <c r="X7" s="282"/>
      <c r="Y7" s="282"/>
      <c r="Z7" s="282"/>
      <c r="AA7" s="282"/>
      <c r="AB7" s="282"/>
      <c r="AC7" s="282"/>
      <c r="AD7" s="282"/>
      <c r="AE7" s="282"/>
      <c r="AF7" s="283"/>
    </row>
    <row r="8" spans="1:32" ht="24.0" customHeight="1">
      <c r="A8" s="281" t="s">
        <v>248</v>
      </c>
      <c r="B8" s="287">
        <v>200</v>
      </c>
      <c r="C8" s="282"/>
      <c r="D8" s="282"/>
      <c r="E8" s="282"/>
      <c r="F8" s="282"/>
      <c r="G8" s="282"/>
      <c r="H8" s="282"/>
      <c r="I8" s="282"/>
      <c r="J8" s="282"/>
      <c r="K8" s="282"/>
      <c r="L8" s="282"/>
      <c r="M8" s="282"/>
      <c r="N8" s="282"/>
      <c r="O8" s="282"/>
      <c r="P8" s="282"/>
      <c r="Q8" s="282"/>
      <c r="R8" s="282"/>
      <c r="S8" s="282"/>
      <c r="T8" s="282"/>
      <c r="U8" s="282"/>
      <c r="V8" s="282"/>
      <c r="W8" s="282"/>
      <c r="X8" s="282"/>
      <c r="Y8" s="282"/>
      <c r="Z8" s="282"/>
      <c r="AA8" s="282"/>
      <c r="AB8" s="282"/>
      <c r="AC8" s="282"/>
      <c r="AD8" s="282"/>
      <c r="AE8" s="282"/>
      <c r="AF8" s="283"/>
    </row>
    <row r="9" spans="1:32" ht="66.0" customHeight="1">
      <c r="A9" s="285" t="s">
        <v>249</v>
      </c>
      <c r="B9" s="285" t="s">
        <v>250</v>
      </c>
      <c r="C9" s="285" t="s">
        <v>251</v>
      </c>
      <c r="D9" s="285" t="s">
        <v>34</v>
      </c>
      <c r="E9" s="285" t="s">
        <v>252</v>
      </c>
      <c r="F9" s="285" t="s">
        <v>253</v>
      </c>
      <c r="G9" s="285" t="s">
        <v>254</v>
      </c>
      <c r="H9" s="285" t="s">
        <v>255</v>
      </c>
      <c r="I9" s="285" t="s">
        <v>256</v>
      </c>
      <c r="J9" s="285" t="s">
        <v>257</v>
      </c>
      <c r="K9" s="285" t="s">
        <v>258</v>
      </c>
      <c r="L9" s="285" t="s">
        <v>259</v>
      </c>
      <c r="M9" s="285" t="s">
        <v>260</v>
      </c>
      <c r="N9" s="285" t="s">
        <v>261</v>
      </c>
      <c r="O9" s="285" t="s">
        <v>262</v>
      </c>
      <c r="P9" s="285" t="s">
        <v>137</v>
      </c>
      <c r="Q9" s="285" t="s">
        <v>263</v>
      </c>
      <c r="R9" s="285" t="s">
        <v>264</v>
      </c>
      <c r="S9" s="285" t="s">
        <v>265</v>
      </c>
      <c r="T9" s="285" t="s">
        <v>266</v>
      </c>
      <c r="U9" s="285" t="s">
        <v>267</v>
      </c>
      <c r="V9" s="285" t="s">
        <v>268</v>
      </c>
      <c r="W9" s="285" t="s">
        <v>269</v>
      </c>
      <c r="X9" s="285" t="s">
        <v>270</v>
      </c>
      <c r="Y9" s="285" t="s">
        <v>271</v>
      </c>
      <c r="Z9" s="285" t="s">
        <v>272</v>
      </c>
      <c r="AA9" s="285" t="s">
        <v>273</v>
      </c>
      <c r="AB9" s="285" t="s">
        <v>274</v>
      </c>
      <c r="AC9" s="285" t="s">
        <v>275</v>
      </c>
      <c r="AD9" s="285" t="s">
        <v>276</v>
      </c>
      <c r="AE9" s="285" t="s">
        <v>277</v>
      </c>
      <c r="AF9" s="285"/>
    </row>
    <row r="10" spans="1:32" ht="24.0" customHeight="1">
      <c r="A10" s="288" t="s">
        <v>278</v>
      </c>
      <c r="B10" s="288">
        <v>1</v>
      </c>
      <c r="C10" s="288" t="s">
        <v>54</v>
      </c>
      <c r="D10" s="288" t="s">
        <v>46</v>
      </c>
      <c r="E10" s="289" t="s">
        <v>279</v>
      </c>
      <c r="F10" s="289" t="s">
        <v>280</v>
      </c>
      <c r="G10" s="288"/>
      <c r="H10" s="289" t="s">
        <v>55</v>
      </c>
      <c r="I10" s="290">
        <v>846</v>
      </c>
      <c r="J10" s="288" t="s">
        <v>281</v>
      </c>
      <c r="K10" s="291">
        <v>23.49</v>
      </c>
      <c r="L10" s="292" t="s">
        <v>282</v>
      </c>
      <c r="M10" s="289" t="s">
        <v>283</v>
      </c>
      <c r="N10" s="293"/>
      <c r="O10" s="291">
        <v>23.69</v>
      </c>
      <c r="P10" s="294">
        <f t="shared" ref="P10:P30" si="0">IF(D10="Treasury",$B$6,$B$5)</f>
        <v>25</v>
      </c>
      <c r="Q10" s="294">
        <f t="shared" ref="Q10:Q30" si="1">IF(D10="Treasury",I10/100*(K10+N10),I10*K10)+P10</f>
        <v>19897.539999999997</v>
      </c>
      <c r="R10" s="294">
        <f t="shared" ref="R10:R30" si="2">IF(D10="Treasury",I10/100*(O10+AE10),I10*O10)+P10</f>
        <v>20066.740000000002</v>
      </c>
      <c r="S10" s="294">
        <v>19897.54</v>
      </c>
      <c r="T10" s="294">
        <f t="shared" ref="T10:T30" si="3">ROUND(Q10-S10,2)</f>
        <v>0</v>
      </c>
      <c r="U10" s="294">
        <v>19698.564600000002</v>
      </c>
      <c r="V10" s="294">
        <v>20096.5154</v>
      </c>
      <c r="W10" s="294">
        <f>$B$4-SUMIFS($Q$10:Q10,$A$10:A10,A10)</f>
        <v>280102.46000000002</v>
      </c>
      <c r="X10" s="294">
        <f>$B$4-SUMIFS($R$10:R10,$A$10:A10,A10)</f>
        <v>279933.26</v>
      </c>
      <c r="Y10" s="288" t="str">
        <f t="shared" ref="Y10:Y30" si="4">IF(X10&gt;=$B$7,"OK","STOP: below cash floor")</f>
        <v>OK</v>
      </c>
      <c r="Z10" s="290">
        <v>52804.2333</v>
      </c>
      <c r="AA10" s="295">
        <f t="shared" ref="AA10:AA30" si="5">IF(Z10="","bond: n/a",I10/(2*Z10))</f>
        <v>8.0107213676748907E-3</v>
      </c>
      <c r="AB10" s="289" t="s">
        <v>284</v>
      </c>
      <c r="AC10" s="289" t="s">
        <v>285</v>
      </c>
      <c r="AD10" s="289" t="s">
        <v>286</v>
      </c>
      <c r="AE10" s="293"/>
      <c r="AF10" s="289"/>
    </row>
    <row r="11" spans="1:32" ht="20" customHeight="1">
      <c r="A11" s="296" t="s">
        <v>278</v>
      </c>
      <c r="B11" s="296">
        <v>2</v>
      </c>
      <c r="C11" s="296" t="s">
        <v>52</v>
      </c>
      <c r="D11" s="296" t="s">
        <v>46</v>
      </c>
      <c r="E11" s="297" t="s">
        <v>287</v>
      </c>
      <c r="F11" s="297" t="s">
        <v>280</v>
      </c>
      <c r="G11" s="296"/>
      <c r="H11" s="297" t="s">
        <v>53</v>
      </c>
      <c r="I11" s="298">
        <v>886</v>
      </c>
      <c r="J11" s="296" t="s">
        <v>281</v>
      </c>
      <c r="K11" s="299">
        <v>23.7</v>
      </c>
      <c r="L11" s="300" t="s">
        <v>282</v>
      </c>
      <c r="M11" s="297" t="s">
        <v>288</v>
      </c>
      <c r="N11" s="301"/>
      <c r="O11" s="299">
        <v>23.9</v>
      </c>
      <c r="P11" s="302">
        <f t="shared" si="0"/>
        <v>25</v>
      </c>
      <c r="Q11" s="302">
        <f t="shared" si="1"/>
        <v>21023.200000000001</v>
      </c>
      <c r="R11" s="302">
        <f t="shared" si="2"/>
        <v>21200.399999999998</v>
      </c>
      <c r="S11" s="302">
        <v>21023.200000000001</v>
      </c>
      <c r="T11" s="302">
        <f t="shared" si="3"/>
        <v>0</v>
      </c>
      <c r="U11" s="302">
        <v>20812.968000000001</v>
      </c>
      <c r="V11" s="302">
        <v>21233.432000000001</v>
      </c>
      <c r="W11" s="302">
        <f>$B$4-SUMIFS($Q$10:Q11,$A$10:A11,A11)</f>
        <v>259079.26</v>
      </c>
      <c r="X11" s="302">
        <f>$B$4-SUMIFS($R$10:R11,$A$10:A11,A11)</f>
        <v>258732.86</v>
      </c>
      <c r="Y11" s="296" t="str">
        <f t="shared" si="4"/>
        <v>OK</v>
      </c>
      <c r="Z11" s="298">
        <v>86882.466700000004</v>
      </c>
      <c r="AA11" s="303">
        <f t="shared" si="5"/>
        <v>5.0988423421454258E-3</v>
      </c>
      <c r="AB11" s="297" t="s">
        <v>289</v>
      </c>
      <c r="AC11" s="297" t="s">
        <v>290</v>
      </c>
      <c r="AD11" s="297"/>
      <c r="AE11" s="301"/>
      <c r="AF11" s="297"/>
    </row>
    <row r="12" spans="1:32" ht="20" customHeight="1">
      <c r="A12" s="288" t="s">
        <v>278</v>
      </c>
      <c r="B12" s="288">
        <v>3</v>
      </c>
      <c r="C12" s="288" t="s">
        <v>50</v>
      </c>
      <c r="D12" s="288" t="s">
        <v>46</v>
      </c>
      <c r="E12" s="289" t="s">
        <v>291</v>
      </c>
      <c r="F12" s="289" t="s">
        <v>280</v>
      </c>
      <c r="G12" s="288"/>
      <c r="H12" s="289" t="s">
        <v>51</v>
      </c>
      <c r="I12" s="290">
        <v>921</v>
      </c>
      <c r="J12" s="288" t="s">
        <v>281</v>
      </c>
      <c r="K12" s="291">
        <v>24.1</v>
      </c>
      <c r="L12" s="292" t="s">
        <v>282</v>
      </c>
      <c r="M12" s="289" t="s">
        <v>292</v>
      </c>
      <c r="N12" s="293"/>
      <c r="O12" s="291">
        <v>24.28</v>
      </c>
      <c r="P12" s="294">
        <f t="shared" si="0"/>
        <v>25</v>
      </c>
      <c r="Q12" s="294">
        <f t="shared" si="1"/>
        <v>22221.100000000002</v>
      </c>
      <c r="R12" s="294">
        <f t="shared" si="2"/>
        <v>22386.880000000001</v>
      </c>
      <c r="S12" s="294">
        <v>22221.1</v>
      </c>
      <c r="T12" s="294">
        <f t="shared" si="3"/>
        <v>0</v>
      </c>
      <c r="U12" s="294">
        <v>21998.888999999999</v>
      </c>
      <c r="V12" s="294">
        <v>22443.311000000002</v>
      </c>
      <c r="W12" s="294">
        <f>$B$4-SUMIFS($Q$10:Q12,$A$10:A12,A12)</f>
        <v>236858.16</v>
      </c>
      <c r="X12" s="294">
        <f>$B$4-SUMIFS($R$10:R12,$A$10:A12,A12)</f>
        <v>236345.97999999998</v>
      </c>
      <c r="Y12" s="288" t="str">
        <f t="shared" si="4"/>
        <v>OK</v>
      </c>
      <c r="Z12" s="290">
        <v>94220.533299999996</v>
      </c>
      <c r="AA12" s="295">
        <f t="shared" si="5"/>
        <v>4.8874696827894094E-3</v>
      </c>
      <c r="AB12" s="289" t="s">
        <v>293</v>
      </c>
      <c r="AC12" s="289" t="s">
        <v>294</v>
      </c>
      <c r="AD12" s="289"/>
      <c r="AE12" s="293"/>
      <c r="AF12" s="289"/>
    </row>
    <row r="13" spans="1:32" ht="24.0" customHeight="1">
      <c r="A13" s="296" t="s">
        <v>278</v>
      </c>
      <c r="B13" s="296">
        <v>4</v>
      </c>
      <c r="C13" s="296" t="s">
        <v>48</v>
      </c>
      <c r="D13" s="296" t="s">
        <v>46</v>
      </c>
      <c r="E13" s="297" t="s">
        <v>295</v>
      </c>
      <c r="F13" s="297" t="s">
        <v>280</v>
      </c>
      <c r="G13" s="296"/>
      <c r="H13" s="297" t="s">
        <v>49</v>
      </c>
      <c r="I13" s="298">
        <v>1016</v>
      </c>
      <c r="J13" s="296" t="s">
        <v>281</v>
      </c>
      <c r="K13" s="299">
        <v>23.02</v>
      </c>
      <c r="L13" s="300" t="s">
        <v>282</v>
      </c>
      <c r="M13" s="297" t="s">
        <v>296</v>
      </c>
      <c r="N13" s="301"/>
      <c r="O13" s="299">
        <v>23.19</v>
      </c>
      <c r="P13" s="302">
        <f t="shared" si="0"/>
        <v>25</v>
      </c>
      <c r="Q13" s="302">
        <f t="shared" si="1"/>
        <v>23413.32</v>
      </c>
      <c r="R13" s="302">
        <f t="shared" si="2"/>
        <v>23586.04</v>
      </c>
      <c r="S13" s="302">
        <v>23413.32</v>
      </c>
      <c r="T13" s="302">
        <f t="shared" si="3"/>
        <v>0</v>
      </c>
      <c r="U13" s="302">
        <v>23179.186799999999</v>
      </c>
      <c r="V13" s="302">
        <v>23647.4532</v>
      </c>
      <c r="W13" s="302">
        <f>$B$4-SUMIFS($Q$10:Q13,$A$10:A13,A13)</f>
        <v>213444.84</v>
      </c>
      <c r="X13" s="302">
        <f>$B$4-SUMIFS($R$10:R13,$A$10:A13,A13)</f>
        <v>212759.94</v>
      </c>
      <c r="Y13" s="296" t="str">
        <f t="shared" si="4"/>
        <v>OK</v>
      </c>
      <c r="Z13" s="298">
        <v>211074.03330000001</v>
      </c>
      <c r="AA13" s="303">
        <f t="shared" si="5"/>
        <v>2.4067384891346554E-3</v>
      </c>
      <c r="AB13" s="297" t="s">
        <v>297</v>
      </c>
      <c r="AC13" s="297" t="s">
        <v>298</v>
      </c>
      <c r="AD13" s="297"/>
      <c r="AE13" s="301"/>
      <c r="AF13" s="297"/>
    </row>
    <row r="14" spans="1:32" ht="24.0" customHeight="1">
      <c r="A14" s="288" t="s">
        <v>278</v>
      </c>
      <c r="B14" s="288">
        <v>5</v>
      </c>
      <c r="C14" s="288" t="s">
        <v>44</v>
      </c>
      <c r="D14" s="288" t="s">
        <v>46</v>
      </c>
      <c r="E14" s="289" t="s">
        <v>224</v>
      </c>
      <c r="F14" s="289" t="s">
        <v>299</v>
      </c>
      <c r="G14" s="288"/>
      <c r="H14" s="289" t="s">
        <v>300</v>
      </c>
      <c r="I14" s="290">
        <v>4486</v>
      </c>
      <c r="J14" s="288" t="s">
        <v>281</v>
      </c>
      <c r="K14" s="291">
        <v>21.76</v>
      </c>
      <c r="L14" s="292" t="s">
        <v>282</v>
      </c>
      <c r="M14" s="289" t="s">
        <v>301</v>
      </c>
      <c r="N14" s="293"/>
      <c r="O14" s="291">
        <v>21.9</v>
      </c>
      <c r="P14" s="294">
        <f t="shared" si="0"/>
        <v>25</v>
      </c>
      <c r="Q14" s="294">
        <f t="shared" si="1"/>
        <v>97640.36</v>
      </c>
      <c r="R14" s="294">
        <f t="shared" si="2"/>
        <v>98268.4</v>
      </c>
      <c r="S14" s="294">
        <v>97640.36</v>
      </c>
      <c r="T14" s="294">
        <f t="shared" si="3"/>
        <v>0</v>
      </c>
      <c r="U14" s="294">
        <v>96663.956399999995</v>
      </c>
      <c r="V14" s="294">
        <v>98616.763600000006</v>
      </c>
      <c r="W14" s="294">
        <f>$B$4-SUMIFS($Q$10:Q14,$A$10:A14,A14)</f>
        <v>115804.47999999998</v>
      </c>
      <c r="X14" s="294">
        <f>$B$4-SUMIFS($R$10:R14,$A$10:A14,A14)</f>
        <v>114491.54000000001</v>
      </c>
      <c r="Y14" s="288" t="str">
        <f t="shared" si="4"/>
        <v>OK</v>
      </c>
      <c r="Z14" s="290">
        <v>186480.1</v>
      </c>
      <c r="AA14" s="295">
        <f t="shared" si="5"/>
        <v>1.2028093078028164E-2</v>
      </c>
      <c r="AB14" s="289" t="s">
        <v>302</v>
      </c>
      <c r="AC14" s="289" t="s">
        <v>303</v>
      </c>
      <c r="AD14" s="289"/>
      <c r="AE14" s="293"/>
      <c r="AF14" s="289"/>
    </row>
    <row r="15" spans="1:32" ht="24.0" customHeight="1">
      <c r="A15" s="296" t="s">
        <v>278</v>
      </c>
      <c r="B15" s="296">
        <v>6</v>
      </c>
      <c r="C15" s="296" t="s">
        <v>69</v>
      </c>
      <c r="D15" s="296" t="s">
        <v>304</v>
      </c>
      <c r="E15" s="297" t="s">
        <v>305</v>
      </c>
      <c r="F15" s="297" t="s">
        <v>306</v>
      </c>
      <c r="G15" s="300" t="s">
        <v>307</v>
      </c>
      <c r="H15" s="297" t="s">
        <v>70</v>
      </c>
      <c r="I15" s="298">
        <v>19000</v>
      </c>
      <c r="J15" s="296" t="s">
        <v>308</v>
      </c>
      <c r="K15" s="299">
        <v>76.367000000000004</v>
      </c>
      <c r="L15" s="300" t="s">
        <v>282</v>
      </c>
      <c r="M15" s="297" t="s">
        <v>309</v>
      </c>
      <c r="N15" s="301">
        <v>1.1889000000000001</v>
      </c>
      <c r="O15" s="299">
        <v>77.239000000000004</v>
      </c>
      <c r="P15" s="302">
        <f t="shared" si="0"/>
        <v>10</v>
      </c>
      <c r="Q15" s="302">
        <f t="shared" si="1"/>
        <v>14745.621000000001</v>
      </c>
      <c r="R15" s="302">
        <f t="shared" si="2"/>
        <v>14916.146000000001</v>
      </c>
      <c r="S15" s="302">
        <v>14745.6132</v>
      </c>
      <c r="T15" s="302">
        <f t="shared" si="3"/>
        <v>0.01</v>
      </c>
      <c r="U15" s="302">
        <v>14582.205099999999</v>
      </c>
      <c r="V15" s="302">
        <v>14916.145399999999</v>
      </c>
      <c r="W15" s="302">
        <f>$B$4-SUMIFS($Q$10:Q15,$A$10:A15,A15)</f>
        <v>101058.85899999997</v>
      </c>
      <c r="X15" s="302">
        <f>$B$4-SUMIFS($R$10:R15,$A$10:A15,A15)</f>
        <v>99575.394</v>
      </c>
      <c r="Y15" s="296" t="str">
        <f t="shared" si="4"/>
        <v>OK</v>
      </c>
      <c r="Z15" s="298"/>
      <c r="AA15" s="303" t="str">
        <f t="shared" si="5"/>
        <v>bond: n/a</v>
      </c>
      <c r="AB15" s="297" t="s">
        <v>310</v>
      </c>
      <c r="AC15" s="304" t="s">
        <v>311</v>
      </c>
      <c r="AD15" s="297" t="s">
        <v>312</v>
      </c>
      <c r="AE15" s="301">
        <v>1.2143999999999999</v>
      </c>
      <c r="AF15" s="297"/>
    </row>
    <row r="16" spans="1:32" ht="24.0" customHeight="1">
      <c r="A16" s="288" t="s">
        <v>278</v>
      </c>
      <c r="B16" s="288">
        <v>7</v>
      </c>
      <c r="C16" s="288" t="s">
        <v>66</v>
      </c>
      <c r="D16" s="288" t="s">
        <v>304</v>
      </c>
      <c r="E16" s="289" t="s">
        <v>313</v>
      </c>
      <c r="F16" s="289" t="s">
        <v>306</v>
      </c>
      <c r="G16" s="292" t="s">
        <v>314</v>
      </c>
      <c r="H16" s="289" t="s">
        <v>67</v>
      </c>
      <c r="I16" s="290">
        <v>17000</v>
      </c>
      <c r="J16" s="288" t="s">
        <v>308</v>
      </c>
      <c r="K16" s="291">
        <v>89.186000000000007</v>
      </c>
      <c r="L16" s="292" t="s">
        <v>282</v>
      </c>
      <c r="M16" s="289" t="s">
        <v>309</v>
      </c>
      <c r="N16" s="293">
        <v>1.6168</v>
      </c>
      <c r="O16" s="291">
        <v>90.106999999999999</v>
      </c>
      <c r="P16" s="294">
        <f t="shared" si="0"/>
        <v>10</v>
      </c>
      <c r="Q16" s="294">
        <f t="shared" si="1"/>
        <v>15446.476000000001</v>
      </c>
      <c r="R16" s="294">
        <f t="shared" si="2"/>
        <v>15608.928</v>
      </c>
      <c r="S16" s="294">
        <v>15446.4841</v>
      </c>
      <c r="T16" s="294">
        <f t="shared" si="3"/>
        <v>-0.01</v>
      </c>
      <c r="U16" s="294">
        <v>15291.927799999999</v>
      </c>
      <c r="V16" s="294">
        <v>15608.921899999999</v>
      </c>
      <c r="W16" s="294">
        <f>$B$4-SUMIFS($Q$10:Q16,$A$10:A16,A16)</f>
        <v>85612.382999999973</v>
      </c>
      <c r="X16" s="294">
        <f>$B$4-SUMIFS($R$10:R16,$A$10:A16,A16)</f>
        <v>83966.466000000015</v>
      </c>
      <c r="Y16" s="288" t="str">
        <f t="shared" si="4"/>
        <v>OK</v>
      </c>
      <c r="Z16" s="290"/>
      <c r="AA16" s="295" t="str">
        <f t="shared" si="5"/>
        <v>bond: n/a</v>
      </c>
      <c r="AB16" s="289" t="s">
        <v>315</v>
      </c>
      <c r="AC16" s="305" t="s">
        <v>316</v>
      </c>
      <c r="AD16" s="289"/>
      <c r="AE16" s="293">
        <v>1.6514</v>
      </c>
      <c r="AF16" s="289"/>
    </row>
    <row r="17" spans="1:32" ht="24.0" customHeight="1">
      <c r="A17" s="296" t="s">
        <v>278</v>
      </c>
      <c r="B17" s="296">
        <v>8</v>
      </c>
      <c r="C17" s="296" t="s">
        <v>63</v>
      </c>
      <c r="D17" s="296" t="s">
        <v>304</v>
      </c>
      <c r="E17" s="297" t="s">
        <v>317</v>
      </c>
      <c r="F17" s="297" t="s">
        <v>306</v>
      </c>
      <c r="G17" s="300" t="s">
        <v>318</v>
      </c>
      <c r="H17" s="297" t="s">
        <v>64</v>
      </c>
      <c r="I17" s="298">
        <v>18000</v>
      </c>
      <c r="J17" s="296" t="s">
        <v>308</v>
      </c>
      <c r="K17" s="299">
        <v>91.363</v>
      </c>
      <c r="L17" s="300" t="s">
        <v>282</v>
      </c>
      <c r="M17" s="297" t="s">
        <v>309</v>
      </c>
      <c r="N17" s="301">
        <v>1.6644000000000001</v>
      </c>
      <c r="O17" s="299">
        <v>92.254999999999995</v>
      </c>
      <c r="P17" s="302">
        <f t="shared" si="0"/>
        <v>10</v>
      </c>
      <c r="Q17" s="302">
        <f t="shared" si="1"/>
        <v>16754.932000000001</v>
      </c>
      <c r="R17" s="302">
        <f t="shared" si="2"/>
        <v>16921.935999999998</v>
      </c>
      <c r="S17" s="302">
        <v>16754.932400000002</v>
      </c>
      <c r="T17" s="302">
        <f t="shared" si="3"/>
        <v>0</v>
      </c>
      <c r="U17" s="302">
        <v>16587.383099999999</v>
      </c>
      <c r="V17" s="302">
        <v>16922.4817</v>
      </c>
      <c r="W17" s="302">
        <f>$B$4-SUMIFS($Q$10:Q17,$A$10:A17,A17)</f>
        <v>68857.450999999972</v>
      </c>
      <c r="X17" s="302">
        <f>$B$4-SUMIFS($R$10:R17,$A$10:A17,A17)</f>
        <v>67044.530000000028</v>
      </c>
      <c r="Y17" s="296" t="str">
        <f t="shared" si="4"/>
        <v>OK</v>
      </c>
      <c r="Z17" s="298"/>
      <c r="AA17" s="303" t="str">
        <f t="shared" si="5"/>
        <v>bond: n/a</v>
      </c>
      <c r="AB17" s="297" t="s">
        <v>319</v>
      </c>
      <c r="AC17" s="304" t="s">
        <v>320</v>
      </c>
      <c r="AD17" s="297"/>
      <c r="AE17" s="301">
        <v>1.7001999999999999</v>
      </c>
      <c r="AF17" s="297"/>
    </row>
    <row r="18" spans="1:32" ht="24.0" customHeight="1">
      <c r="A18" s="288" t="s">
        <v>278</v>
      </c>
      <c r="B18" s="288">
        <v>9</v>
      </c>
      <c r="C18" s="288" t="s">
        <v>60</v>
      </c>
      <c r="D18" s="288" t="s">
        <v>304</v>
      </c>
      <c r="E18" s="289" t="s">
        <v>321</v>
      </c>
      <c r="F18" s="289" t="s">
        <v>306</v>
      </c>
      <c r="G18" s="292" t="s">
        <v>322</v>
      </c>
      <c r="H18" s="289" t="s">
        <v>61</v>
      </c>
      <c r="I18" s="290">
        <v>19000</v>
      </c>
      <c r="J18" s="288" t="s">
        <v>308</v>
      </c>
      <c r="K18" s="291">
        <v>94.281000000000006</v>
      </c>
      <c r="L18" s="292" t="s">
        <v>282</v>
      </c>
      <c r="M18" s="289" t="s">
        <v>309</v>
      </c>
      <c r="N18" s="293">
        <v>1.712</v>
      </c>
      <c r="O18" s="291">
        <v>95.120999999999995</v>
      </c>
      <c r="P18" s="294">
        <f t="shared" si="0"/>
        <v>10</v>
      </c>
      <c r="Q18" s="294">
        <f t="shared" si="1"/>
        <v>18248.670000000002</v>
      </c>
      <c r="R18" s="294">
        <f t="shared" si="2"/>
        <v>18415.319</v>
      </c>
      <c r="S18" s="294">
        <v>18248.661700000001</v>
      </c>
      <c r="T18" s="294">
        <f t="shared" si="3"/>
        <v>0.01</v>
      </c>
      <c r="U18" s="294">
        <v>18066.1751</v>
      </c>
      <c r="V18" s="294">
        <v>18431.148399999998</v>
      </c>
      <c r="W18" s="294">
        <f>$B$4-SUMIFS($Q$10:Q18,$A$10:A18,A18)</f>
        <v>50608.780999999959</v>
      </c>
      <c r="X18" s="294">
        <f>$B$4-SUMIFS($R$10:R18,$A$10:A18,A18)</f>
        <v>48629.211000000039</v>
      </c>
      <c r="Y18" s="288" t="str">
        <f t="shared" si="4"/>
        <v>OK</v>
      </c>
      <c r="Z18" s="290"/>
      <c r="AA18" s="295" t="str">
        <f t="shared" si="5"/>
        <v>bond: n/a</v>
      </c>
      <c r="AB18" s="289" t="s">
        <v>323</v>
      </c>
      <c r="AC18" s="305" t="s">
        <v>324</v>
      </c>
      <c r="AD18" s="289"/>
      <c r="AE18" s="293">
        <v>1.7491000000000001</v>
      </c>
      <c r="AF18" s="289"/>
    </row>
    <row r="19" spans="1:32" ht="24.0" customHeight="1">
      <c r="A19" s="296" t="s">
        <v>278</v>
      </c>
      <c r="B19" s="296">
        <v>10</v>
      </c>
      <c r="C19" s="296" t="s">
        <v>56</v>
      </c>
      <c r="D19" s="296" t="s">
        <v>304</v>
      </c>
      <c r="E19" s="297" t="s">
        <v>325</v>
      </c>
      <c r="F19" s="297" t="s">
        <v>306</v>
      </c>
      <c r="G19" s="300" t="s">
        <v>326</v>
      </c>
      <c r="H19" s="297" t="s">
        <v>57</v>
      </c>
      <c r="I19" s="298">
        <v>20000</v>
      </c>
      <c r="J19" s="296" t="s">
        <v>308</v>
      </c>
      <c r="K19" s="299">
        <v>97.152000000000001</v>
      </c>
      <c r="L19" s="300" t="s">
        <v>282</v>
      </c>
      <c r="M19" s="297" t="s">
        <v>309</v>
      </c>
      <c r="N19" s="301">
        <v>0.61960000000000004</v>
      </c>
      <c r="O19" s="299">
        <v>97.918999999999997</v>
      </c>
      <c r="P19" s="302">
        <f t="shared" si="0"/>
        <v>10</v>
      </c>
      <c r="Q19" s="302">
        <f t="shared" si="1"/>
        <v>19564.32</v>
      </c>
      <c r="R19" s="302">
        <f t="shared" si="2"/>
        <v>19725.420000000002</v>
      </c>
      <c r="S19" s="302">
        <v>19564.312999999998</v>
      </c>
      <c r="T19" s="302">
        <f t="shared" si="3"/>
        <v>0.01</v>
      </c>
      <c r="U19" s="302">
        <v>19368.669900000001</v>
      </c>
      <c r="V19" s="302">
        <v>19759.956200000001</v>
      </c>
      <c r="W19" s="302">
        <f>$B$4-SUMIFS($Q$10:Q19,$A$10:A19,A19)</f>
        <v>31044.460999999952</v>
      </c>
      <c r="X19" s="302">
        <f>$B$4-SUMIFS($R$10:R19,$A$10:A19,A19)</f>
        <v>28903.791000000027</v>
      </c>
      <c r="Y19" s="296" t="str">
        <f t="shared" si="4"/>
        <v>OK</v>
      </c>
      <c r="Z19" s="298"/>
      <c r="AA19" s="303" t="str">
        <f t="shared" si="5"/>
        <v>bond: n/a</v>
      </c>
      <c r="AB19" s="297" t="s">
        <v>327</v>
      </c>
      <c r="AC19" s="304" t="s">
        <v>328</v>
      </c>
      <c r="AD19" s="297"/>
      <c r="AE19" s="301">
        <v>0.65810000000000002</v>
      </c>
      <c r="AF19" s="297"/>
    </row>
    <row r="20" spans="1:32" ht="24.0" customHeight="1">
      <c r="A20" s="288" t="s">
        <v>278</v>
      </c>
      <c r="B20" s="288">
        <v>11</v>
      </c>
      <c r="C20" s="288" t="s">
        <v>72</v>
      </c>
      <c r="D20" s="288" t="s">
        <v>46</v>
      </c>
      <c r="E20" s="289" t="s">
        <v>225</v>
      </c>
      <c r="F20" s="289" t="s">
        <v>299</v>
      </c>
      <c r="G20" s="288"/>
      <c r="H20" s="289" t="s">
        <v>329</v>
      </c>
      <c r="I20" s="290">
        <v>164</v>
      </c>
      <c r="J20" s="288" t="s">
        <v>281</v>
      </c>
      <c r="K20" s="291">
        <v>158.81</v>
      </c>
      <c r="L20" s="292" t="s">
        <v>282</v>
      </c>
      <c r="M20" s="289" t="s">
        <v>301</v>
      </c>
      <c r="N20" s="293"/>
      <c r="O20" s="291">
        <v>161.18</v>
      </c>
      <c r="P20" s="294">
        <f t="shared" si="0"/>
        <v>25</v>
      </c>
      <c r="Q20" s="294">
        <f t="shared" si="1"/>
        <v>26069.84</v>
      </c>
      <c r="R20" s="294">
        <f t="shared" si="2"/>
        <v>26458.52</v>
      </c>
      <c r="S20" s="294">
        <v>26069.84</v>
      </c>
      <c r="T20" s="294">
        <f t="shared" si="3"/>
        <v>0</v>
      </c>
      <c r="U20" s="294">
        <v>25681.16</v>
      </c>
      <c r="V20" s="294">
        <v>26458.52</v>
      </c>
      <c r="W20" s="294">
        <f>$B$4-SUMIFS($Q$10:Q20,$A$10:A20,A20)</f>
        <v>4974.6209999999264</v>
      </c>
      <c r="X20" s="294">
        <f>$B$4-SUMIFS($R$10:R20,$A$10:A20,A20)</f>
        <v>2445.2710000000079</v>
      </c>
      <c r="Y20" s="288" t="str">
        <f t="shared" si="4"/>
        <v>OK</v>
      </c>
      <c r="Z20" s="290">
        <v>2223656.7999999998</v>
      </c>
      <c r="AA20" s="295">
        <f t="shared" si="5"/>
        <v>3.6876194204069625E-5</v>
      </c>
      <c r="AB20" s="289" t="s">
        <v>330</v>
      </c>
      <c r="AC20" s="289" t="s">
        <v>331</v>
      </c>
      <c r="AD20" s="289" t="s">
        <v>332</v>
      </c>
      <c r="AE20" s="293"/>
      <c r="AF20" s="289"/>
    </row>
    <row r="21" spans="1:32" ht="24.0" customHeight="1">
      <c r="A21" s="296" t="s">
        <v>333</v>
      </c>
      <c r="B21" s="296">
        <v>1</v>
      </c>
      <c r="C21" s="296" t="s">
        <v>54</v>
      </c>
      <c r="D21" s="296" t="s">
        <v>46</v>
      </c>
      <c r="E21" s="297" t="s">
        <v>279</v>
      </c>
      <c r="F21" s="297" t="s">
        <v>280</v>
      </c>
      <c r="G21" s="296"/>
      <c r="H21" s="297" t="s">
        <v>55</v>
      </c>
      <c r="I21" s="298">
        <v>1252</v>
      </c>
      <c r="J21" s="296" t="s">
        <v>281</v>
      </c>
      <c r="K21" s="299">
        <v>23.49</v>
      </c>
      <c r="L21" s="300" t="s">
        <v>282</v>
      </c>
      <c r="M21" s="297" t="s">
        <v>283</v>
      </c>
      <c r="N21" s="301"/>
      <c r="O21" s="299">
        <v>23.69</v>
      </c>
      <c r="P21" s="302">
        <f t="shared" si="0"/>
        <v>25</v>
      </c>
      <c r="Q21" s="302">
        <f t="shared" si="1"/>
        <v>29434.48</v>
      </c>
      <c r="R21" s="302">
        <f t="shared" si="2"/>
        <v>29684.880000000001</v>
      </c>
      <c r="S21" s="302">
        <v>29434.48</v>
      </c>
      <c r="T21" s="302">
        <f t="shared" si="3"/>
        <v>0</v>
      </c>
      <c r="U21" s="302">
        <v>29140.135200000001</v>
      </c>
      <c r="V21" s="302">
        <v>29728.824799999999</v>
      </c>
      <c r="W21" s="302">
        <f>$B$4-SUMIFS($Q$10:Q21,$A$10:A21,A21)</f>
        <v>270565.52</v>
      </c>
      <c r="X21" s="302">
        <f>$B$4-SUMIFS($R$10:R21,$A$10:A21,A21)</f>
        <v>270315.12</v>
      </c>
      <c r="Y21" s="296" t="str">
        <f t="shared" si="4"/>
        <v>OK</v>
      </c>
      <c r="Z21" s="298">
        <v>52804.2333</v>
      </c>
      <c r="AA21" s="303">
        <f t="shared" si="5"/>
        <v>1.185511010913589E-2</v>
      </c>
      <c r="AB21" s="297" t="s">
        <v>284</v>
      </c>
      <c r="AC21" s="297" t="s">
        <v>285</v>
      </c>
      <c r="AD21" s="297" t="s">
        <v>286</v>
      </c>
      <c r="AE21" s="301"/>
      <c r="AF21" s="297"/>
    </row>
    <row r="22" spans="1:32" ht="20" customHeight="1">
      <c r="A22" s="288" t="s">
        <v>333</v>
      </c>
      <c r="B22" s="288">
        <v>2</v>
      </c>
      <c r="C22" s="288" t="s">
        <v>52</v>
      </c>
      <c r="D22" s="288" t="s">
        <v>46</v>
      </c>
      <c r="E22" s="289" t="s">
        <v>287</v>
      </c>
      <c r="F22" s="289" t="s">
        <v>280</v>
      </c>
      <c r="G22" s="288"/>
      <c r="H22" s="289" t="s">
        <v>53</v>
      </c>
      <c r="I22" s="290">
        <v>1311</v>
      </c>
      <c r="J22" s="288" t="s">
        <v>281</v>
      </c>
      <c r="K22" s="291">
        <v>23.7</v>
      </c>
      <c r="L22" s="292" t="s">
        <v>282</v>
      </c>
      <c r="M22" s="289" t="s">
        <v>288</v>
      </c>
      <c r="N22" s="293"/>
      <c r="O22" s="291">
        <v>23.9</v>
      </c>
      <c r="P22" s="294">
        <f t="shared" si="0"/>
        <v>25</v>
      </c>
      <c r="Q22" s="294">
        <f t="shared" si="1"/>
        <v>31095.7</v>
      </c>
      <c r="R22" s="294">
        <f t="shared" si="2"/>
        <v>31357.899999999998</v>
      </c>
      <c r="S22" s="294">
        <v>31095.7</v>
      </c>
      <c r="T22" s="294">
        <f t="shared" si="3"/>
        <v>0</v>
      </c>
      <c r="U22" s="294">
        <v>30784.742999999999</v>
      </c>
      <c r="V22" s="294">
        <v>31406.656999999999</v>
      </c>
      <c r="W22" s="294">
        <f>$B$4-SUMIFS($Q$10:Q22,$A$10:A22,A22)</f>
        <v>239469.82</v>
      </c>
      <c r="X22" s="294">
        <f>$B$4-SUMIFS($R$10:R22,$A$10:A22,A22)</f>
        <v>238957.22</v>
      </c>
      <c r="Y22" s="288" t="str">
        <f t="shared" si="4"/>
        <v>OK</v>
      </c>
      <c r="Z22" s="290">
        <v>86882.466700000004</v>
      </c>
      <c r="AA22" s="295">
        <f t="shared" si="5"/>
        <v>7.544675294077487E-3</v>
      </c>
      <c r="AB22" s="289" t="s">
        <v>289</v>
      </c>
      <c r="AC22" s="289" t="s">
        <v>290</v>
      </c>
      <c r="AD22" s="289"/>
      <c r="AE22" s="293"/>
      <c r="AF22" s="289"/>
    </row>
    <row r="23" spans="1:32" ht="20" customHeight="1">
      <c r="A23" s="296" t="s">
        <v>333</v>
      </c>
      <c r="B23" s="296">
        <v>3</v>
      </c>
      <c r="C23" s="296" t="s">
        <v>50</v>
      </c>
      <c r="D23" s="296" t="s">
        <v>46</v>
      </c>
      <c r="E23" s="297" t="s">
        <v>291</v>
      </c>
      <c r="F23" s="297" t="s">
        <v>280</v>
      </c>
      <c r="G23" s="296"/>
      <c r="H23" s="297" t="s">
        <v>51</v>
      </c>
      <c r="I23" s="298">
        <v>1362</v>
      </c>
      <c r="J23" s="296" t="s">
        <v>281</v>
      </c>
      <c r="K23" s="299">
        <v>24.1</v>
      </c>
      <c r="L23" s="300" t="s">
        <v>282</v>
      </c>
      <c r="M23" s="297" t="s">
        <v>292</v>
      </c>
      <c r="N23" s="301"/>
      <c r="O23" s="299">
        <v>24.28</v>
      </c>
      <c r="P23" s="302">
        <f t="shared" si="0"/>
        <v>25</v>
      </c>
      <c r="Q23" s="302">
        <f t="shared" si="1"/>
        <v>32849.200000000004</v>
      </c>
      <c r="R23" s="302">
        <f t="shared" si="2"/>
        <v>33094.36</v>
      </c>
      <c r="S23" s="302">
        <v>32849.199999999997</v>
      </c>
      <c r="T23" s="302">
        <f t="shared" si="3"/>
        <v>0</v>
      </c>
      <c r="U23" s="302">
        <v>32520.707999999999</v>
      </c>
      <c r="V23" s="302">
        <v>33177.692000000003</v>
      </c>
      <c r="W23" s="302">
        <f>$B$4-SUMIFS($Q$10:Q23,$A$10:A23,A23)</f>
        <v>206620.62</v>
      </c>
      <c r="X23" s="302">
        <f>$B$4-SUMIFS($R$10:R23,$A$10:A23,A23)</f>
        <v>205862.86</v>
      </c>
      <c r="Y23" s="296" t="str">
        <f t="shared" si="4"/>
        <v>OK</v>
      </c>
      <c r="Z23" s="298">
        <v>94220.533299999996</v>
      </c>
      <c r="AA23" s="303">
        <f t="shared" si="5"/>
        <v>7.2277238957211467E-3</v>
      </c>
      <c r="AB23" s="297" t="s">
        <v>293</v>
      </c>
      <c r="AC23" s="297" t="s">
        <v>294</v>
      </c>
      <c r="AD23" s="297"/>
      <c r="AE23" s="301"/>
      <c r="AF23" s="297"/>
    </row>
    <row r="24" spans="1:32" ht="24.0" customHeight="1">
      <c r="A24" s="288" t="s">
        <v>333</v>
      </c>
      <c r="B24" s="288">
        <v>4</v>
      </c>
      <c r="C24" s="288" t="s">
        <v>48</v>
      </c>
      <c r="D24" s="288" t="s">
        <v>46</v>
      </c>
      <c r="E24" s="289" t="s">
        <v>295</v>
      </c>
      <c r="F24" s="289" t="s">
        <v>280</v>
      </c>
      <c r="G24" s="288"/>
      <c r="H24" s="289" t="s">
        <v>49</v>
      </c>
      <c r="I24" s="290">
        <v>1503</v>
      </c>
      <c r="J24" s="288" t="s">
        <v>281</v>
      </c>
      <c r="K24" s="291">
        <v>23.02</v>
      </c>
      <c r="L24" s="292" t="s">
        <v>282</v>
      </c>
      <c r="M24" s="289" t="s">
        <v>296</v>
      </c>
      <c r="N24" s="293"/>
      <c r="O24" s="291">
        <v>23.19</v>
      </c>
      <c r="P24" s="294">
        <f t="shared" si="0"/>
        <v>25</v>
      </c>
      <c r="Q24" s="294">
        <f t="shared" si="1"/>
        <v>34624.06</v>
      </c>
      <c r="R24" s="294">
        <f t="shared" si="2"/>
        <v>34879.57</v>
      </c>
      <c r="S24" s="294">
        <v>34624.06</v>
      </c>
      <c r="T24" s="294">
        <f t="shared" si="3"/>
        <v>0</v>
      </c>
      <c r="U24" s="294">
        <v>34277.8194</v>
      </c>
      <c r="V24" s="294">
        <v>34970.300600000002</v>
      </c>
      <c r="W24" s="294">
        <f>$B$4-SUMIFS($Q$10:Q24,$A$10:A24,A24)</f>
        <v>171996.56</v>
      </c>
      <c r="X24" s="294">
        <f>$B$4-SUMIFS($R$10:R24,$A$10:A24,A24)</f>
        <v>170983.29</v>
      </c>
      <c r="Y24" s="288" t="str">
        <f t="shared" si="4"/>
        <v>OK</v>
      </c>
      <c r="Z24" s="290">
        <v>211074.03330000001</v>
      </c>
      <c r="AA24" s="295">
        <f t="shared" si="5"/>
        <v>3.5603621546942787E-3</v>
      </c>
      <c r="AB24" s="289" t="s">
        <v>297</v>
      </c>
      <c r="AC24" s="289" t="s">
        <v>298</v>
      </c>
      <c r="AD24" s="289"/>
      <c r="AE24" s="293"/>
      <c r="AF24" s="289"/>
    </row>
    <row r="25" spans="1:32" ht="24.0" customHeight="1">
      <c r="A25" s="296" t="s">
        <v>333</v>
      </c>
      <c r="B25" s="296">
        <v>5</v>
      </c>
      <c r="C25" s="296" t="s">
        <v>44</v>
      </c>
      <c r="D25" s="296" t="s">
        <v>46</v>
      </c>
      <c r="E25" s="297" t="s">
        <v>224</v>
      </c>
      <c r="F25" s="297" t="s">
        <v>299</v>
      </c>
      <c r="G25" s="296"/>
      <c r="H25" s="297" t="s">
        <v>334</v>
      </c>
      <c r="I25" s="298">
        <v>1678</v>
      </c>
      <c r="J25" s="296" t="s">
        <v>281</v>
      </c>
      <c r="K25" s="299">
        <v>21.76</v>
      </c>
      <c r="L25" s="300" t="s">
        <v>282</v>
      </c>
      <c r="M25" s="297" t="s">
        <v>301</v>
      </c>
      <c r="N25" s="301"/>
      <c r="O25" s="299">
        <v>21.9</v>
      </c>
      <c r="P25" s="302">
        <f t="shared" si="0"/>
        <v>25</v>
      </c>
      <c r="Q25" s="302">
        <f t="shared" si="1"/>
        <v>36538.280000000006</v>
      </c>
      <c r="R25" s="302">
        <f t="shared" si="2"/>
        <v>36773.199999999997</v>
      </c>
      <c r="S25" s="302">
        <v>36538.28</v>
      </c>
      <c r="T25" s="302">
        <f t="shared" si="3"/>
        <v>0</v>
      </c>
      <c r="U25" s="302">
        <v>36172.897199999999</v>
      </c>
      <c r="V25" s="302">
        <v>36903.662799999998</v>
      </c>
      <c r="W25" s="302">
        <f>$B$4-SUMIFS($Q$10:Q25,$A$10:A25,A25)</f>
        <v>135458.28</v>
      </c>
      <c r="X25" s="302">
        <f>$B$4-SUMIFS($R$10:R25,$A$10:A25,A25)</f>
        <v>134210.09000000003</v>
      </c>
      <c r="Y25" s="296" t="str">
        <f t="shared" si="4"/>
        <v>OK</v>
      </c>
      <c r="Z25" s="298">
        <v>186480.1</v>
      </c>
      <c r="AA25" s="303">
        <f t="shared" si="5"/>
        <v>4.4991395864759833E-3</v>
      </c>
      <c r="AB25" s="297" t="s">
        <v>302</v>
      </c>
      <c r="AC25" s="297" t="s">
        <v>303</v>
      </c>
      <c r="AD25" s="297"/>
      <c r="AE25" s="301"/>
      <c r="AF25" s="297"/>
    </row>
    <row r="26" spans="1:32" ht="24.0" customHeight="1">
      <c r="A26" s="288" t="s">
        <v>333</v>
      </c>
      <c r="B26" s="288">
        <v>6</v>
      </c>
      <c r="C26" s="288" t="s">
        <v>69</v>
      </c>
      <c r="D26" s="288" t="s">
        <v>304</v>
      </c>
      <c r="E26" s="289" t="s">
        <v>305</v>
      </c>
      <c r="F26" s="289" t="s">
        <v>306</v>
      </c>
      <c r="G26" s="292" t="s">
        <v>307</v>
      </c>
      <c r="H26" s="289" t="s">
        <v>70</v>
      </c>
      <c r="I26" s="290">
        <v>29000</v>
      </c>
      <c r="J26" s="288" t="s">
        <v>308</v>
      </c>
      <c r="K26" s="291">
        <v>76.367000000000004</v>
      </c>
      <c r="L26" s="292" t="s">
        <v>282</v>
      </c>
      <c r="M26" s="289" t="s">
        <v>309</v>
      </c>
      <c r="N26" s="293">
        <v>1.1889000000000001</v>
      </c>
      <c r="O26" s="291">
        <v>77.239000000000004</v>
      </c>
      <c r="P26" s="294">
        <f t="shared" si="0"/>
        <v>10</v>
      </c>
      <c r="Q26" s="294">
        <f t="shared" si="1"/>
        <v>22501.211000000003</v>
      </c>
      <c r="R26" s="294">
        <f t="shared" si="2"/>
        <v>22761.486000000001</v>
      </c>
      <c r="S26" s="294">
        <v>22501.199000000001</v>
      </c>
      <c r="T26" s="294">
        <f t="shared" si="3"/>
        <v>0.01</v>
      </c>
      <c r="U26" s="294">
        <v>22251.786700000001</v>
      </c>
      <c r="V26" s="294">
        <v>22761.485100000002</v>
      </c>
      <c r="W26" s="294">
        <f>$B$4-SUMIFS($Q$10:Q26,$A$10:A26,A26)</f>
        <v>112957.06899999999</v>
      </c>
      <c r="X26" s="294">
        <f>$B$4-SUMIFS($R$10:R26,$A$10:A26,A26)</f>
        <v>111448.60400000002</v>
      </c>
      <c r="Y26" s="288" t="str">
        <f t="shared" si="4"/>
        <v>OK</v>
      </c>
      <c r="Z26" s="290"/>
      <c r="AA26" s="295" t="str">
        <f t="shared" si="5"/>
        <v>bond: n/a</v>
      </c>
      <c r="AB26" s="289" t="s">
        <v>310</v>
      </c>
      <c r="AC26" s="305" t="s">
        <v>311</v>
      </c>
      <c r="AD26" s="289" t="s">
        <v>312</v>
      </c>
      <c r="AE26" s="293">
        <v>1.2143999999999999</v>
      </c>
      <c r="AF26" s="289"/>
    </row>
    <row r="27" spans="1:32" ht="24.0" customHeight="1">
      <c r="A27" s="296" t="s">
        <v>333</v>
      </c>
      <c r="B27" s="296">
        <v>7</v>
      </c>
      <c r="C27" s="296" t="s">
        <v>66</v>
      </c>
      <c r="D27" s="296" t="s">
        <v>304</v>
      </c>
      <c r="E27" s="297" t="s">
        <v>313</v>
      </c>
      <c r="F27" s="297" t="s">
        <v>306</v>
      </c>
      <c r="G27" s="300" t="s">
        <v>314</v>
      </c>
      <c r="H27" s="297" t="s">
        <v>67</v>
      </c>
      <c r="I27" s="298">
        <v>26000</v>
      </c>
      <c r="J27" s="296" t="s">
        <v>308</v>
      </c>
      <c r="K27" s="299">
        <v>89.186000000000007</v>
      </c>
      <c r="L27" s="300" t="s">
        <v>282</v>
      </c>
      <c r="M27" s="297" t="s">
        <v>309</v>
      </c>
      <c r="N27" s="301">
        <v>1.6168</v>
      </c>
      <c r="O27" s="299">
        <v>90.106999999999999</v>
      </c>
      <c r="P27" s="302">
        <f t="shared" si="0"/>
        <v>10</v>
      </c>
      <c r="Q27" s="302">
        <f t="shared" si="1"/>
        <v>23618.728000000003</v>
      </c>
      <c r="R27" s="302">
        <f t="shared" si="2"/>
        <v>23867.183999999997</v>
      </c>
      <c r="S27" s="302">
        <v>23618.740399999999</v>
      </c>
      <c r="T27" s="302">
        <f t="shared" si="3"/>
        <v>-0.01</v>
      </c>
      <c r="U27" s="302">
        <v>23382.360199999999</v>
      </c>
      <c r="V27" s="302">
        <v>23867.1747</v>
      </c>
      <c r="W27" s="302">
        <f>$B$4-SUMIFS($Q$10:Q27,$A$10:A27,A27)</f>
        <v>89338.340999999986</v>
      </c>
      <c r="X27" s="302">
        <f>$B$4-SUMIFS($R$10:R27,$A$10:A27,A27)</f>
        <v>87581.420000000013</v>
      </c>
      <c r="Y27" s="296" t="str">
        <f t="shared" si="4"/>
        <v>OK</v>
      </c>
      <c r="Z27" s="298"/>
      <c r="AA27" s="303" t="str">
        <f t="shared" si="5"/>
        <v>bond: n/a</v>
      </c>
      <c r="AB27" s="297" t="s">
        <v>315</v>
      </c>
      <c r="AC27" s="304" t="s">
        <v>316</v>
      </c>
      <c r="AD27" s="297"/>
      <c r="AE27" s="301">
        <v>1.6514</v>
      </c>
      <c r="AF27" s="297"/>
    </row>
    <row r="28" spans="1:32" ht="24.0" customHeight="1">
      <c r="A28" s="288" t="s">
        <v>333</v>
      </c>
      <c r="B28" s="288">
        <v>8</v>
      </c>
      <c r="C28" s="288" t="s">
        <v>63</v>
      </c>
      <c r="D28" s="288" t="s">
        <v>304</v>
      </c>
      <c r="E28" s="289" t="s">
        <v>317</v>
      </c>
      <c r="F28" s="289" t="s">
        <v>306</v>
      </c>
      <c r="G28" s="292" t="s">
        <v>318</v>
      </c>
      <c r="H28" s="289" t="s">
        <v>64</v>
      </c>
      <c r="I28" s="290">
        <v>27000</v>
      </c>
      <c r="J28" s="288" t="s">
        <v>308</v>
      </c>
      <c r="K28" s="291">
        <v>91.363</v>
      </c>
      <c r="L28" s="292" t="s">
        <v>282</v>
      </c>
      <c r="M28" s="289" t="s">
        <v>309</v>
      </c>
      <c r="N28" s="293">
        <v>1.6644000000000001</v>
      </c>
      <c r="O28" s="291">
        <v>92.254999999999995</v>
      </c>
      <c r="P28" s="294">
        <f t="shared" si="0"/>
        <v>10</v>
      </c>
      <c r="Q28" s="294">
        <f t="shared" si="1"/>
        <v>25127.398000000001</v>
      </c>
      <c r="R28" s="294">
        <f t="shared" si="2"/>
        <v>25377.903999999999</v>
      </c>
      <c r="S28" s="294">
        <v>25127.3986</v>
      </c>
      <c r="T28" s="294">
        <f t="shared" si="3"/>
        <v>0</v>
      </c>
      <c r="U28" s="294">
        <v>24876.124599999999</v>
      </c>
      <c r="V28" s="294">
        <v>25378.672600000002</v>
      </c>
      <c r="W28" s="294">
        <f>$B$4-SUMIFS($Q$10:Q28,$A$10:A28,A28)</f>
        <v>64210.94299999997</v>
      </c>
      <c r="X28" s="294">
        <f>$B$4-SUMIFS($R$10:R28,$A$10:A28,A28)</f>
        <v>62203.516000000003</v>
      </c>
      <c r="Y28" s="288" t="str">
        <f t="shared" si="4"/>
        <v>OK</v>
      </c>
      <c r="Z28" s="290"/>
      <c r="AA28" s="295" t="str">
        <f t="shared" si="5"/>
        <v>bond: n/a</v>
      </c>
      <c r="AB28" s="289" t="s">
        <v>319</v>
      </c>
      <c r="AC28" s="305" t="s">
        <v>320</v>
      </c>
      <c r="AD28" s="289"/>
      <c r="AE28" s="293">
        <v>1.7001999999999999</v>
      </c>
      <c r="AF28" s="289"/>
    </row>
    <row r="29" spans="1:32" ht="24.0" customHeight="1">
      <c r="A29" s="296" t="s">
        <v>333</v>
      </c>
      <c r="B29" s="296">
        <v>9</v>
      </c>
      <c r="C29" s="296" t="s">
        <v>60</v>
      </c>
      <c r="D29" s="296" t="s">
        <v>304</v>
      </c>
      <c r="E29" s="297" t="s">
        <v>321</v>
      </c>
      <c r="F29" s="297" t="s">
        <v>306</v>
      </c>
      <c r="G29" s="300" t="s">
        <v>322</v>
      </c>
      <c r="H29" s="297" t="s">
        <v>61</v>
      </c>
      <c r="I29" s="298">
        <v>29000</v>
      </c>
      <c r="J29" s="296" t="s">
        <v>308</v>
      </c>
      <c r="K29" s="299">
        <v>94.281000000000006</v>
      </c>
      <c r="L29" s="300" t="s">
        <v>282</v>
      </c>
      <c r="M29" s="297" t="s">
        <v>309</v>
      </c>
      <c r="N29" s="301">
        <v>1.712</v>
      </c>
      <c r="O29" s="299">
        <v>95.120999999999995</v>
      </c>
      <c r="P29" s="302">
        <f t="shared" si="0"/>
        <v>10</v>
      </c>
      <c r="Q29" s="302">
        <f t="shared" si="1"/>
        <v>27847.97</v>
      </c>
      <c r="R29" s="302">
        <f t="shared" si="2"/>
        <v>28102.328999999998</v>
      </c>
      <c r="S29" s="302">
        <v>27847.957399999999</v>
      </c>
      <c r="T29" s="302">
        <f t="shared" si="3"/>
        <v>0.01</v>
      </c>
      <c r="U29" s="302">
        <v>27569.477800000001</v>
      </c>
      <c r="V29" s="302">
        <v>28126.437000000002</v>
      </c>
      <c r="W29" s="302">
        <f>$B$4-SUMIFS($Q$10:Q29,$A$10:A29,A29)</f>
        <v>36362.972999999998</v>
      </c>
      <c r="X29" s="302">
        <f>$B$4-SUMIFS($R$10:R29,$A$10:A29,A29)</f>
        <v>34101.187000000034</v>
      </c>
      <c r="Y29" s="296" t="str">
        <f t="shared" si="4"/>
        <v>OK</v>
      </c>
      <c r="Z29" s="298"/>
      <c r="AA29" s="303" t="str">
        <f t="shared" si="5"/>
        <v>bond: n/a</v>
      </c>
      <c r="AB29" s="297" t="s">
        <v>323</v>
      </c>
      <c r="AC29" s="304" t="s">
        <v>324</v>
      </c>
      <c r="AD29" s="297"/>
      <c r="AE29" s="301">
        <v>1.7491000000000001</v>
      </c>
      <c r="AF29" s="297"/>
    </row>
    <row r="30" spans="1:32" ht="24.0" customHeight="1">
      <c r="A30" s="288" t="s">
        <v>333</v>
      </c>
      <c r="B30" s="288">
        <v>10</v>
      </c>
      <c r="C30" s="288" t="s">
        <v>56</v>
      </c>
      <c r="D30" s="288" t="s">
        <v>304</v>
      </c>
      <c r="E30" s="289" t="s">
        <v>325</v>
      </c>
      <c r="F30" s="289" t="s">
        <v>306</v>
      </c>
      <c r="G30" s="292" t="s">
        <v>326</v>
      </c>
      <c r="H30" s="289" t="s">
        <v>57</v>
      </c>
      <c r="I30" s="290">
        <v>30000</v>
      </c>
      <c r="J30" s="288" t="s">
        <v>308</v>
      </c>
      <c r="K30" s="291">
        <v>97.152000000000001</v>
      </c>
      <c r="L30" s="292" t="s">
        <v>282</v>
      </c>
      <c r="M30" s="289" t="s">
        <v>309</v>
      </c>
      <c r="N30" s="293">
        <v>0.61960000000000004</v>
      </c>
      <c r="O30" s="291">
        <v>97.918999999999997</v>
      </c>
      <c r="P30" s="294">
        <f t="shared" si="0"/>
        <v>10</v>
      </c>
      <c r="Q30" s="294">
        <f t="shared" si="1"/>
        <v>29341.480000000003</v>
      </c>
      <c r="R30" s="294">
        <f t="shared" si="2"/>
        <v>29583.13</v>
      </c>
      <c r="S30" s="294">
        <v>29341.4696</v>
      </c>
      <c r="T30" s="294">
        <f t="shared" si="3"/>
        <v>0.01</v>
      </c>
      <c r="U30" s="294">
        <v>29048.054899999999</v>
      </c>
      <c r="V30" s="294">
        <v>29634.884300000002</v>
      </c>
      <c r="W30" s="294">
        <f>$B$4-SUMIFS($Q$10:Q30,$A$10:A30,A30)</f>
        <v>7021.4930000000168</v>
      </c>
      <c r="X30" s="294">
        <f>$B$4-SUMIFS($R$10:R30,$A$10:A30,A30)</f>
        <v>4518.0570000000298</v>
      </c>
      <c r="Y30" s="288" t="str">
        <f t="shared" si="4"/>
        <v>OK</v>
      </c>
      <c r="Z30" s="290"/>
      <c r="AA30" s="295" t="str">
        <f t="shared" si="5"/>
        <v>bond: n/a</v>
      </c>
      <c r="AB30" s="289" t="s">
        <v>327</v>
      </c>
      <c r="AC30" s="305" t="s">
        <v>328</v>
      </c>
      <c r="AD30" s="289"/>
      <c r="AE30" s="293">
        <v>0.65810000000000002</v>
      </c>
      <c r="AF30" s="289"/>
    </row>
    <row r="31" spans="1:32" ht="20" customHeight="1">
      <c r="A31" s="281"/>
      <c r="B31" s="281"/>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3"/>
    </row>
    <row r="32" spans="1:32" ht="62.0" customHeight="1">
      <c r="A32" s="285" t="s">
        <v>335</v>
      </c>
      <c r="B32" s="285" t="s">
        <v>169</v>
      </c>
      <c r="C32" s="285" t="s">
        <v>84</v>
      </c>
      <c r="D32" s="285" t="s">
        <v>336</v>
      </c>
      <c r="E32" s="285" t="s">
        <v>337</v>
      </c>
      <c r="F32" s="285" t="s">
        <v>338</v>
      </c>
      <c r="G32" s="285" t="s">
        <v>339</v>
      </c>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3"/>
    </row>
    <row r="33" spans="1:32" ht="20" customHeight="1">
      <c r="A33" s="306" t="s">
        <v>278</v>
      </c>
      <c r="B33" s="307">
        <f>COUNTIF($A$10:$A$30,"Portfolio")</f>
        <v>11</v>
      </c>
      <c r="C33" s="308">
        <f>SUMIFS($P$10:$P$30,$A$10:$A$30,"Portfolio")</f>
        <v>200</v>
      </c>
      <c r="D33" s="308">
        <f>SUMIFS($Q$10:$Q$30,$A$10:$A$30,"Portfolio")</f>
        <v>295025.37900000007</v>
      </c>
      <c r="E33" s="308">
        <f>$B$4-D33</f>
        <v>4974.6209999999264</v>
      </c>
      <c r="F33" s="308">
        <f>$B$4-SUMIFS($R$10:$R$30,$A$10:$A$30,"Portfolio")</f>
        <v>2445.2710000000079</v>
      </c>
      <c r="G33" s="309">
        <f>B33/$B$8</f>
        <v>5.5E-2</v>
      </c>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3"/>
    </row>
    <row r="34" spans="1:32" ht="20" customHeight="1">
      <c r="A34" s="306" t="s">
        <v>333</v>
      </c>
      <c r="B34" s="307">
        <f>COUNTIF($A$10:$A$30,"BookL")</f>
        <v>10</v>
      </c>
      <c r="C34" s="308">
        <f>SUMIFS($P$10:$P$30,$A$10:$A$30,"BookL")</f>
        <v>175</v>
      </c>
      <c r="D34" s="308">
        <f>SUMIFS($Q$10:$Q$30,$A$10:$A$30,"BookL")</f>
        <v>292978.50699999998</v>
      </c>
      <c r="E34" s="308">
        <f>$B$4-D34</f>
        <v>7021.4930000000168</v>
      </c>
      <c r="F34" s="308">
        <f>$B$4-SUMIFS($R$10:$R$30,$A$10:$A$30,"BookL")</f>
        <v>4518.0570000000298</v>
      </c>
      <c r="G34" s="309">
        <f>B34/$B$8</f>
        <v>0.05</v>
      </c>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3"/>
    </row>
    <row r="35" spans="1:32" ht="42.0" customHeight="1">
      <c r="A35" s="310" t="s">
        <v>340</v>
      </c>
      <c r="B35" s="281"/>
      <c r="C35" s="281"/>
      <c r="D35" s="281"/>
      <c r="E35" s="281"/>
      <c r="F35" s="281"/>
      <c r="G35" s="281"/>
      <c r="H35" s="281"/>
      <c r="I35" s="281"/>
      <c r="J35" s="281"/>
      <c r="K35" s="281"/>
      <c r="L35" s="281"/>
      <c r="M35" s="281"/>
      <c r="N35" s="282"/>
      <c r="O35" s="282"/>
      <c r="P35" s="282"/>
      <c r="Q35" s="282"/>
      <c r="R35" s="282"/>
      <c r="S35" s="282"/>
      <c r="T35" s="282"/>
      <c r="U35" s="282"/>
      <c r="V35" s="282"/>
      <c r="W35" s="282"/>
      <c r="X35" s="282"/>
      <c r="Y35" s="282"/>
      <c r="Z35" s="282"/>
      <c r="AA35" s="282"/>
      <c r="AB35" s="282"/>
      <c r="AC35" s="282"/>
      <c r="AD35" s="282"/>
      <c r="AE35" s="282"/>
      <c r="AF35" s="283"/>
    </row>
    <row r="36" spans="1:32" ht="20"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row>
    <row r="37" spans="1:32" ht="20"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row>
    <row r="38" spans="1:32" ht="20"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row>
    <row r="39" spans="1:32" ht="20"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row>
    <row r="40" spans="1:32" ht="20"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row>
    <row r="41" spans="1:32" ht="20"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row>
    <row r="42" spans="1:32" ht="20"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row>
    <row r="43" spans="1:32" ht="20"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row>
    <row r="44" spans="1:32" ht="20"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row>
    <row r="45" spans="1:32" ht="20"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row>
    <row r="46" spans="1:32" ht="20"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row>
    <row r="47" spans="1:32" ht="20"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row>
    <row r="48" spans="1:32" ht="20"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row>
    <row r="49" spans="1:32" ht="20"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row>
    <row r="50" spans="1:32" ht="20"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row>
    <row r="51" spans="1:32" ht="20"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row>
    <row r="52" spans="1:32" ht="20"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row>
    <row r="53" spans="1:32" ht="20"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row>
    <row r="54" spans="1:32" ht="20"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row>
    <row r="55" spans="1:32" ht="20"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row>
    <row r="56" spans="1:32" ht="20"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row>
    <row r="57" spans="1:32" ht="20"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row>
    <row r="58" spans="1:32" ht="20"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row>
    <row r="59" spans="1:32" ht="20"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row>
    <row r="60" spans="1:32" ht="20"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row>
  </sheetData>
  <mergeCells count="3">
    <mergeCell ref="A1:M1"/>
    <mergeCell ref="A2:M2"/>
    <mergeCell ref="A35:M35"/>
  </mergeCells>
  <conditionalFormatting sqref="T10:T30">
    <cfRule type="expression" dxfId="3" priority="2" stopIfTrue="1">
      <formula>ABS(T10)&gt;0.05</formula>
    </cfRule>
  </conditionalFormatting>
  <conditionalFormatting sqref="Y10:Y30">
    <cfRule type="beginsWith" dxfId="2" priority="1" stopIfTrue="1" operator="beginsWith" text="STOP">
      <formula>LEFT((Y10),LEN("STOP"))=("STOP")</formula>
    </cfRule>
  </conditionalFormatting>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235"/>
    <outlinePr summaryBelow="0" summaryRight="0"/>
    <pageSetUpPr fitToPage="1"/>
  </sheetPr>
  <dimension ref="A1:Q36"/>
  <sheetViews>
    <sheetView showGridLines="0" workbookViewId="0" topLeftCell="A1">
      <selection activeCell="J5" sqref="J5"/>
    </sheetView>
  </sheetViews>
  <sheetFormatPr defaultColWidth="12.7109375" defaultRowHeight="15.75" customHeight="1"/>
  <cols>
    <col min="1" max="1" width="14" customWidth="1"/>
    <col min="2" max="2" width="10" customWidth="1"/>
    <col min="3" max="3" width="16" customWidth="1"/>
    <col min="4" max="4" width="30" customWidth="1"/>
    <col min="5" max="5" width="36" customWidth="1"/>
    <col min="6" max="6" width="26" customWidth="1"/>
    <col min="7" max="7" width="26" customWidth="1"/>
    <col min="8" max="8" width="42" customWidth="1"/>
    <col min="9" max="9" width="120" customWidth="1"/>
    <col min="10" max="10" width="28" customWidth="1"/>
    <col min="11" max="11" width="74" customWidth="1"/>
    <col min="12" max="12" width="20" customWidth="1"/>
    <col min="13" max="13" width="74" customWidth="1"/>
    <col min="14" max="14" width="20" customWidth="1"/>
    <col min="15" max="15" width="20" customWidth="1"/>
    <col min="16" max="16" width="28" customWidth="1"/>
    <col min="17" max="17" width="66" customWidth="1"/>
  </cols>
  <sheetData>
    <row r="1" spans="1:17" ht="34.0" customHeight="1">
      <c r="A1" s="311" t="s">
        <v>341</v>
      </c>
    </row>
    <row r="2" spans="1:17" ht="32.0" customHeight="1">
      <c r="A2" s="312" t="s">
        <v>342</v>
      </c>
    </row>
    <row r="3" spans="1:17" ht="20" customHeight="1">
      <c r="A3" s="313" t="s">
        <v>343</v>
      </c>
      <c r="B3" s="314">
        <v>300</v>
      </c>
    </row>
    <row r="4" spans="1:17" ht="48.0" customHeight="1">
      <c r="A4" s="315" t="s">
        <v>249</v>
      </c>
      <c r="B4" s="315" t="s">
        <v>250</v>
      </c>
      <c r="C4" s="315" t="s">
        <v>344</v>
      </c>
      <c r="D4" s="315" t="s">
        <v>251</v>
      </c>
      <c r="E4" s="315" t="s">
        <v>345</v>
      </c>
      <c r="F4" s="315" t="s">
        <v>346</v>
      </c>
      <c r="G4" s="315" t="s">
        <v>347</v>
      </c>
      <c r="H4" s="315" t="s">
        <v>348</v>
      </c>
      <c r="I4" s="315" t="s">
        <v>349</v>
      </c>
      <c r="J4" s="315" t="s">
        <v>350</v>
      </c>
      <c r="K4" s="315" t="s">
        <v>351</v>
      </c>
      <c r="L4" s="315" t="s">
        <v>352</v>
      </c>
      <c r="M4" s="315" t="s">
        <v>353</v>
      </c>
      <c r="N4" s="315" t="s">
        <v>354</v>
      </c>
      <c r="O4" s="315" t="s">
        <v>355</v>
      </c>
      <c r="P4" s="315" t="s">
        <v>356</v>
      </c>
      <c r="Q4" s="315" t="s">
        <v>357</v>
      </c>
    </row>
    <row r="5" spans="1:17" ht="408.0" customHeight="1">
      <c r="A5" s="316" t="s">
        <v>278</v>
      </c>
      <c r="B5" s="316">
        <v>1</v>
      </c>
      <c r="C5" s="316" t="s">
        <v>54</v>
      </c>
      <c r="D5" s="316" t="s">
        <v>54</v>
      </c>
      <c r="E5" s="316" t="s">
        <v>358</v>
      </c>
      <c r="F5" s="316" t="s">
        <v>359</v>
      </c>
      <c r="G5" s="316" t="s">
        <v>360</v>
      </c>
      <c r="H5" s="316" t="s">
        <v>361</v>
      </c>
      <c r="I5" s="316" t="s">
        <v>362</v>
      </c>
      <c r="J5" s="317" t="s">
        <v>363</v>
      </c>
      <c r="K5" s="318" t="s">
        <v>364</v>
      </c>
      <c r="L5" s="316">
        <f t="shared" ref="L5:L36" si="0">LEN(K5)</f>
        <v>293</v>
      </c>
      <c r="M5" s="319"/>
      <c r="N5" s="316">
        <f t="shared" ref="N5:N36" si="1">LEN(M5)</f>
        <v>0</v>
      </c>
      <c r="O5" s="316">
        <f t="shared" ref="O5:O36" si="2">$B$3-N5</f>
        <v>300</v>
      </c>
      <c r="P5" s="316" t="str">
        <f t="shared" ref="P5:P36" si="3">IF(N5=0,"empty",IF(N5&gt;$B$3,"TOO LONG: cut "&amp;(N5-$B$3)&amp;" characters","OK"))</f>
        <v>empty</v>
      </c>
      <c r="Q5" s="316" t="s">
        <v>365</v>
      </c>
    </row>
    <row r="6" spans="1:17" ht="120.0" customHeight="1">
      <c r="A6" s="320" t="s">
        <v>278</v>
      </c>
      <c r="B6" s="320">
        <v>2</v>
      </c>
      <c r="C6" s="320" t="s">
        <v>52</v>
      </c>
      <c r="D6" s="320" t="s">
        <v>52</v>
      </c>
      <c r="E6" s="320" t="s">
        <v>366</v>
      </c>
      <c r="F6" s="320" t="s">
        <v>359</v>
      </c>
      <c r="G6" s="320" t="s">
        <v>367</v>
      </c>
      <c r="H6" s="320"/>
      <c r="I6" s="320" t="s">
        <v>368</v>
      </c>
      <c r="J6" s="321" t="s">
        <v>363</v>
      </c>
      <c r="K6" s="322" t="s">
        <v>369</v>
      </c>
      <c r="L6" s="320">
        <f t="shared" si="0"/>
        <v>274</v>
      </c>
      <c r="M6" s="319"/>
      <c r="N6" s="320">
        <f t="shared" si="1"/>
        <v>0</v>
      </c>
      <c r="O6" s="320">
        <f t="shared" si="2"/>
        <v>300</v>
      </c>
      <c r="P6" s="320" t="str">
        <f t="shared" si="3"/>
        <v>empty</v>
      </c>
      <c r="Q6" s="320" t="s">
        <v>370</v>
      </c>
    </row>
    <row r="7" spans="1:17" ht="204.0" customHeight="1">
      <c r="A7" s="316" t="s">
        <v>278</v>
      </c>
      <c r="B7" s="316">
        <v>3</v>
      </c>
      <c r="C7" s="316" t="s">
        <v>50</v>
      </c>
      <c r="D7" s="316" t="s">
        <v>50</v>
      </c>
      <c r="E7" s="316" t="s">
        <v>371</v>
      </c>
      <c r="F7" s="316" t="s">
        <v>359</v>
      </c>
      <c r="G7" s="316" t="s">
        <v>367</v>
      </c>
      <c r="H7" s="316"/>
      <c r="I7" s="316" t="s">
        <v>372</v>
      </c>
      <c r="J7" s="317" t="s">
        <v>363</v>
      </c>
      <c r="K7" s="318" t="s">
        <v>373</v>
      </c>
      <c r="L7" s="316">
        <f t="shared" si="0"/>
        <v>235</v>
      </c>
      <c r="M7" s="319"/>
      <c r="N7" s="316">
        <f t="shared" si="1"/>
        <v>0</v>
      </c>
      <c r="O7" s="316">
        <f t="shared" si="2"/>
        <v>300</v>
      </c>
      <c r="P7" s="316" t="str">
        <f t="shared" si="3"/>
        <v>empty</v>
      </c>
      <c r="Q7" s="316" t="s">
        <v>370</v>
      </c>
    </row>
    <row r="8" spans="1:17" ht="108.0" customHeight="1">
      <c r="A8" s="320" t="s">
        <v>278</v>
      </c>
      <c r="B8" s="320">
        <v>4</v>
      </c>
      <c r="C8" s="320" t="s">
        <v>48</v>
      </c>
      <c r="D8" s="320" t="s">
        <v>48</v>
      </c>
      <c r="E8" s="320" t="s">
        <v>374</v>
      </c>
      <c r="F8" s="320" t="s">
        <v>359</v>
      </c>
      <c r="G8" s="320" t="s">
        <v>367</v>
      </c>
      <c r="H8" s="320"/>
      <c r="I8" s="320" t="s">
        <v>375</v>
      </c>
      <c r="J8" s="321" t="s">
        <v>363</v>
      </c>
      <c r="K8" s="322" t="s">
        <v>376</v>
      </c>
      <c r="L8" s="320">
        <f t="shared" si="0"/>
        <v>267</v>
      </c>
      <c r="M8" s="319"/>
      <c r="N8" s="320">
        <f t="shared" si="1"/>
        <v>0</v>
      </c>
      <c r="O8" s="320">
        <f t="shared" si="2"/>
        <v>300</v>
      </c>
      <c r="P8" s="320" t="str">
        <f t="shared" si="3"/>
        <v>empty</v>
      </c>
      <c r="Q8" s="320" t="s">
        <v>370</v>
      </c>
    </row>
    <row r="9" spans="1:17" ht="288.0" customHeight="1">
      <c r="A9" s="316" t="s">
        <v>278</v>
      </c>
      <c r="B9" s="316">
        <v>5</v>
      </c>
      <c r="C9" s="316" t="s">
        <v>377</v>
      </c>
      <c r="D9" s="316" t="s">
        <v>44</v>
      </c>
      <c r="E9" s="316" t="s">
        <v>378</v>
      </c>
      <c r="F9" s="316" t="s">
        <v>379</v>
      </c>
      <c r="G9" s="316" t="s">
        <v>367</v>
      </c>
      <c r="H9" s="316" t="s">
        <v>380</v>
      </c>
      <c r="I9" s="316" t="s">
        <v>381</v>
      </c>
      <c r="J9" s="317" t="s">
        <v>363</v>
      </c>
      <c r="K9" s="318" t="s">
        <v>382</v>
      </c>
      <c r="L9" s="316">
        <f t="shared" si="0"/>
        <v>287</v>
      </c>
      <c r="M9" s="319"/>
      <c r="N9" s="316">
        <f t="shared" si="1"/>
        <v>0</v>
      </c>
      <c r="O9" s="316">
        <f t="shared" si="2"/>
        <v>300</v>
      </c>
      <c r="P9" s="316" t="str">
        <f t="shared" si="3"/>
        <v>empty</v>
      </c>
      <c r="Q9" s="316" t="s">
        <v>383</v>
      </c>
    </row>
    <row r="10" spans="1:17" ht="144.0" customHeight="1">
      <c r="A10" s="320" t="s">
        <v>278</v>
      </c>
      <c r="B10" s="320">
        <v>6</v>
      </c>
      <c r="C10" s="320" t="s">
        <v>384</v>
      </c>
      <c r="D10" s="320" t="s">
        <v>69</v>
      </c>
      <c r="E10" s="320" t="s">
        <v>385</v>
      </c>
      <c r="F10" s="320" t="s">
        <v>359</v>
      </c>
      <c r="G10" s="320" t="s">
        <v>367</v>
      </c>
      <c r="H10" s="320" t="s">
        <v>386</v>
      </c>
      <c r="I10" s="320" t="s">
        <v>387</v>
      </c>
      <c r="J10" s="321" t="s">
        <v>363</v>
      </c>
      <c r="K10" s="322" t="s">
        <v>388</v>
      </c>
      <c r="L10" s="320">
        <f t="shared" si="0"/>
        <v>279</v>
      </c>
      <c r="M10" s="319"/>
      <c r="N10" s="320">
        <f t="shared" si="1"/>
        <v>0</v>
      </c>
      <c r="O10" s="320">
        <f t="shared" si="2"/>
        <v>300</v>
      </c>
      <c r="P10" s="320" t="str">
        <f t="shared" si="3"/>
        <v>empty</v>
      </c>
      <c r="Q10" s="320" t="s">
        <v>370</v>
      </c>
    </row>
    <row r="11" spans="1:17" ht="168.0" customHeight="1">
      <c r="A11" s="316" t="s">
        <v>278</v>
      </c>
      <c r="B11" s="316">
        <v>7</v>
      </c>
      <c r="C11" s="316" t="s">
        <v>389</v>
      </c>
      <c r="D11" s="316" t="s">
        <v>66</v>
      </c>
      <c r="E11" s="316" t="s">
        <v>390</v>
      </c>
      <c r="F11" s="316" t="s">
        <v>359</v>
      </c>
      <c r="G11" s="316" t="s">
        <v>367</v>
      </c>
      <c r="H11" s="316"/>
      <c r="I11" s="316" t="s">
        <v>391</v>
      </c>
      <c r="J11" s="317" t="s">
        <v>363</v>
      </c>
      <c r="K11" s="318" t="s">
        <v>392</v>
      </c>
      <c r="L11" s="316">
        <f t="shared" si="0"/>
        <v>283</v>
      </c>
      <c r="M11" s="319"/>
      <c r="N11" s="316">
        <f t="shared" si="1"/>
        <v>0</v>
      </c>
      <c r="O11" s="316">
        <f t="shared" si="2"/>
        <v>300</v>
      </c>
      <c r="P11" s="316" t="str">
        <f t="shared" si="3"/>
        <v>empty</v>
      </c>
      <c r="Q11" s="316" t="s">
        <v>370</v>
      </c>
    </row>
    <row r="12" spans="1:17" ht="168.0" customHeight="1">
      <c r="A12" s="320" t="s">
        <v>278</v>
      </c>
      <c r="B12" s="320">
        <v>8</v>
      </c>
      <c r="C12" s="320" t="s">
        <v>393</v>
      </c>
      <c r="D12" s="320" t="s">
        <v>63</v>
      </c>
      <c r="E12" s="320" t="s">
        <v>394</v>
      </c>
      <c r="F12" s="320" t="s">
        <v>359</v>
      </c>
      <c r="G12" s="320" t="s">
        <v>367</v>
      </c>
      <c r="H12" s="320" t="s">
        <v>395</v>
      </c>
      <c r="I12" s="320" t="s">
        <v>396</v>
      </c>
      <c r="J12" s="321" t="s">
        <v>363</v>
      </c>
      <c r="K12" s="322" t="s">
        <v>397</v>
      </c>
      <c r="L12" s="320">
        <f t="shared" si="0"/>
        <v>284</v>
      </c>
      <c r="M12" s="319"/>
      <c r="N12" s="320">
        <f t="shared" si="1"/>
        <v>0</v>
      </c>
      <c r="O12" s="320">
        <f t="shared" si="2"/>
        <v>300</v>
      </c>
      <c r="P12" s="320" t="str">
        <f t="shared" si="3"/>
        <v>empty</v>
      </c>
      <c r="Q12" s="320" t="s">
        <v>398</v>
      </c>
    </row>
    <row r="13" spans="1:17" ht="192.0" customHeight="1">
      <c r="A13" s="316" t="s">
        <v>278</v>
      </c>
      <c r="B13" s="316">
        <v>9</v>
      </c>
      <c r="C13" s="316" t="s">
        <v>399</v>
      </c>
      <c r="D13" s="316" t="s">
        <v>60</v>
      </c>
      <c r="E13" s="316" t="s">
        <v>400</v>
      </c>
      <c r="F13" s="316" t="s">
        <v>359</v>
      </c>
      <c r="G13" s="316" t="s">
        <v>367</v>
      </c>
      <c r="H13" s="316"/>
      <c r="I13" s="316" t="s">
        <v>401</v>
      </c>
      <c r="J13" s="317" t="s">
        <v>363</v>
      </c>
      <c r="K13" s="318" t="s">
        <v>402</v>
      </c>
      <c r="L13" s="316">
        <f t="shared" si="0"/>
        <v>270</v>
      </c>
      <c r="M13" s="319"/>
      <c r="N13" s="316">
        <f t="shared" si="1"/>
        <v>0</v>
      </c>
      <c r="O13" s="316">
        <f t="shared" si="2"/>
        <v>300</v>
      </c>
      <c r="P13" s="316" t="str">
        <f t="shared" si="3"/>
        <v>empty</v>
      </c>
      <c r="Q13" s="316" t="s">
        <v>403</v>
      </c>
    </row>
    <row r="14" spans="1:17" ht="156.0" customHeight="1">
      <c r="A14" s="320" t="s">
        <v>278</v>
      </c>
      <c r="B14" s="320">
        <v>10</v>
      </c>
      <c r="C14" s="320" t="s">
        <v>404</v>
      </c>
      <c r="D14" s="320" t="s">
        <v>56</v>
      </c>
      <c r="E14" s="320" t="s">
        <v>405</v>
      </c>
      <c r="F14" s="320" t="s">
        <v>359</v>
      </c>
      <c r="G14" s="320" t="s">
        <v>367</v>
      </c>
      <c r="H14" s="320"/>
      <c r="I14" s="320" t="s">
        <v>406</v>
      </c>
      <c r="J14" s="321" t="s">
        <v>363</v>
      </c>
      <c r="K14" s="322" t="s">
        <v>407</v>
      </c>
      <c r="L14" s="320">
        <f t="shared" si="0"/>
        <v>258</v>
      </c>
      <c r="M14" s="319"/>
      <c r="N14" s="320">
        <f t="shared" si="1"/>
        <v>0</v>
      </c>
      <c r="O14" s="320">
        <f t="shared" si="2"/>
        <v>300</v>
      </c>
      <c r="P14" s="320" t="str">
        <f t="shared" si="3"/>
        <v>empty</v>
      </c>
      <c r="Q14" s="320" t="s">
        <v>408</v>
      </c>
    </row>
    <row r="15" spans="1:17" ht="276.0" customHeight="1">
      <c r="A15" s="316" t="s">
        <v>278</v>
      </c>
      <c r="B15" s="316">
        <v>11</v>
      </c>
      <c r="C15" s="316" t="s">
        <v>72</v>
      </c>
      <c r="D15" s="316" t="s">
        <v>72</v>
      </c>
      <c r="E15" s="316" t="s">
        <v>409</v>
      </c>
      <c r="F15" s="316" t="s">
        <v>410</v>
      </c>
      <c r="G15" s="316" t="s">
        <v>367</v>
      </c>
      <c r="H15" s="316" t="s">
        <v>411</v>
      </c>
      <c r="I15" s="316" t="s">
        <v>412</v>
      </c>
      <c r="J15" s="317" t="s">
        <v>363</v>
      </c>
      <c r="K15" s="318" t="s">
        <v>413</v>
      </c>
      <c r="L15" s="316">
        <f t="shared" si="0"/>
        <v>286</v>
      </c>
      <c r="M15" s="319"/>
      <c r="N15" s="316">
        <f t="shared" si="1"/>
        <v>0</v>
      </c>
      <c r="O15" s="316">
        <f t="shared" si="2"/>
        <v>300</v>
      </c>
      <c r="P15" s="316" t="str">
        <f t="shared" si="3"/>
        <v>empty</v>
      </c>
      <c r="Q15" s="316" t="s">
        <v>414</v>
      </c>
    </row>
    <row r="16" spans="1:17" ht="36.0" customHeight="1">
      <c r="A16" s="320" t="s">
        <v>333</v>
      </c>
      <c r="B16" s="320">
        <v>1</v>
      </c>
      <c r="C16" s="320" t="s">
        <v>54</v>
      </c>
      <c r="D16" s="320" t="s">
        <v>54</v>
      </c>
      <c r="E16" s="320" t="s">
        <v>358</v>
      </c>
      <c r="F16" s="320" t="s">
        <v>359</v>
      </c>
      <c r="G16" s="320" t="s">
        <v>360</v>
      </c>
      <c r="H16" s="320" t="s">
        <v>361</v>
      </c>
      <c r="I16" s="320" t="s">
        <v>415</v>
      </c>
      <c r="J16" s="321" t="s">
        <v>363</v>
      </c>
      <c r="K16" s="322" t="s">
        <v>364</v>
      </c>
      <c r="L16" s="320">
        <f t="shared" si="0"/>
        <v>293</v>
      </c>
      <c r="M16" s="319"/>
      <c r="N16" s="320">
        <f t="shared" si="1"/>
        <v>0</v>
      </c>
      <c r="O16" s="320">
        <f t="shared" si="2"/>
        <v>300</v>
      </c>
      <c r="P16" s="320" t="str">
        <f t="shared" si="3"/>
        <v>empty</v>
      </c>
      <c r="Q16" s="320" t="s">
        <v>365</v>
      </c>
    </row>
    <row r="17" spans="1:17" ht="36.0" customHeight="1">
      <c r="A17" s="316" t="s">
        <v>333</v>
      </c>
      <c r="B17" s="316">
        <v>2</v>
      </c>
      <c r="C17" s="316" t="s">
        <v>52</v>
      </c>
      <c r="D17" s="316" t="s">
        <v>52</v>
      </c>
      <c r="E17" s="316" t="s">
        <v>366</v>
      </c>
      <c r="F17" s="316" t="s">
        <v>359</v>
      </c>
      <c r="G17" s="316" t="s">
        <v>367</v>
      </c>
      <c r="H17" s="316"/>
      <c r="I17" s="316" t="s">
        <v>416</v>
      </c>
      <c r="J17" s="317" t="s">
        <v>363</v>
      </c>
      <c r="K17" s="318" t="s">
        <v>369</v>
      </c>
      <c r="L17" s="316">
        <f t="shared" si="0"/>
        <v>274</v>
      </c>
      <c r="M17" s="319"/>
      <c r="N17" s="316">
        <f t="shared" si="1"/>
        <v>0</v>
      </c>
      <c r="O17" s="316">
        <f t="shared" si="2"/>
        <v>300</v>
      </c>
      <c r="P17" s="316" t="str">
        <f t="shared" si="3"/>
        <v>empty</v>
      </c>
      <c r="Q17" s="316" t="s">
        <v>370</v>
      </c>
    </row>
    <row r="18" spans="1:17" ht="36.0" customHeight="1">
      <c r="A18" s="320" t="s">
        <v>333</v>
      </c>
      <c r="B18" s="320">
        <v>3</v>
      </c>
      <c r="C18" s="320" t="s">
        <v>50</v>
      </c>
      <c r="D18" s="320" t="s">
        <v>50</v>
      </c>
      <c r="E18" s="320" t="s">
        <v>371</v>
      </c>
      <c r="F18" s="320" t="s">
        <v>359</v>
      </c>
      <c r="G18" s="320" t="s">
        <v>367</v>
      </c>
      <c r="H18" s="320"/>
      <c r="I18" s="320" t="s">
        <v>417</v>
      </c>
      <c r="J18" s="321" t="s">
        <v>363</v>
      </c>
      <c r="K18" s="322" t="s">
        <v>373</v>
      </c>
      <c r="L18" s="320">
        <f t="shared" si="0"/>
        <v>235</v>
      </c>
      <c r="M18" s="319"/>
      <c r="N18" s="320">
        <f t="shared" si="1"/>
        <v>0</v>
      </c>
      <c r="O18" s="320">
        <f t="shared" si="2"/>
        <v>300</v>
      </c>
      <c r="P18" s="320" t="str">
        <f t="shared" si="3"/>
        <v>empty</v>
      </c>
      <c r="Q18" s="320" t="s">
        <v>370</v>
      </c>
    </row>
    <row r="19" spans="1:17" ht="36.0" customHeight="1">
      <c r="A19" s="316" t="s">
        <v>333</v>
      </c>
      <c r="B19" s="316">
        <v>4</v>
      </c>
      <c r="C19" s="316" t="s">
        <v>48</v>
      </c>
      <c r="D19" s="316" t="s">
        <v>48</v>
      </c>
      <c r="E19" s="316" t="s">
        <v>374</v>
      </c>
      <c r="F19" s="316" t="s">
        <v>359</v>
      </c>
      <c r="G19" s="316" t="s">
        <v>367</v>
      </c>
      <c r="H19" s="316"/>
      <c r="I19" s="316" t="s">
        <v>418</v>
      </c>
      <c r="J19" s="317" t="s">
        <v>363</v>
      </c>
      <c r="K19" s="318" t="s">
        <v>376</v>
      </c>
      <c r="L19" s="316">
        <f t="shared" si="0"/>
        <v>267</v>
      </c>
      <c r="M19" s="319"/>
      <c r="N19" s="316">
        <f t="shared" si="1"/>
        <v>0</v>
      </c>
      <c r="O19" s="316">
        <f t="shared" si="2"/>
        <v>300</v>
      </c>
      <c r="P19" s="316" t="str">
        <f t="shared" si="3"/>
        <v>empty</v>
      </c>
      <c r="Q19" s="316" t="s">
        <v>370</v>
      </c>
    </row>
    <row r="20" spans="1:17" ht="84.0" customHeight="1">
      <c r="A20" s="320" t="s">
        <v>333</v>
      </c>
      <c r="B20" s="320">
        <v>5</v>
      </c>
      <c r="C20" s="320" t="s">
        <v>419</v>
      </c>
      <c r="D20" s="320" t="s">
        <v>44</v>
      </c>
      <c r="E20" s="320" t="s">
        <v>420</v>
      </c>
      <c r="F20" s="320" t="s">
        <v>359</v>
      </c>
      <c r="G20" s="320" t="s">
        <v>367</v>
      </c>
      <c r="H20" s="320"/>
      <c r="I20" s="320" t="s">
        <v>421</v>
      </c>
      <c r="J20" s="321" t="s">
        <v>363</v>
      </c>
      <c r="K20" s="322" t="s">
        <v>422</v>
      </c>
      <c r="L20" s="320">
        <f t="shared" si="0"/>
        <v>265</v>
      </c>
      <c r="M20" s="319"/>
      <c r="N20" s="320">
        <f t="shared" si="1"/>
        <v>0</v>
      </c>
      <c r="O20" s="320">
        <f t="shared" si="2"/>
        <v>300</v>
      </c>
      <c r="P20" s="320" t="str">
        <f t="shared" si="3"/>
        <v>empty</v>
      </c>
      <c r="Q20" s="320" t="s">
        <v>370</v>
      </c>
    </row>
    <row r="21" spans="1:17" ht="36.0" customHeight="1">
      <c r="A21" s="316" t="s">
        <v>333</v>
      </c>
      <c r="B21" s="316">
        <v>6</v>
      </c>
      <c r="C21" s="316" t="s">
        <v>384</v>
      </c>
      <c r="D21" s="316" t="s">
        <v>69</v>
      </c>
      <c r="E21" s="316" t="s">
        <v>385</v>
      </c>
      <c r="F21" s="316" t="s">
        <v>359</v>
      </c>
      <c r="G21" s="316" t="s">
        <v>367</v>
      </c>
      <c r="H21" s="316" t="s">
        <v>386</v>
      </c>
      <c r="I21" s="316" t="s">
        <v>423</v>
      </c>
      <c r="J21" s="317" t="s">
        <v>363</v>
      </c>
      <c r="K21" s="318" t="s">
        <v>388</v>
      </c>
      <c r="L21" s="316">
        <f t="shared" si="0"/>
        <v>279</v>
      </c>
      <c r="M21" s="319"/>
      <c r="N21" s="316">
        <f t="shared" si="1"/>
        <v>0</v>
      </c>
      <c r="O21" s="316">
        <f t="shared" si="2"/>
        <v>300</v>
      </c>
      <c r="P21" s="316" t="str">
        <f t="shared" si="3"/>
        <v>empty</v>
      </c>
      <c r="Q21" s="316" t="s">
        <v>370</v>
      </c>
    </row>
    <row r="22" spans="1:17" ht="48.0" customHeight="1">
      <c r="A22" s="320" t="s">
        <v>333</v>
      </c>
      <c r="B22" s="320">
        <v>7</v>
      </c>
      <c r="C22" s="320" t="s">
        <v>389</v>
      </c>
      <c r="D22" s="320" t="s">
        <v>66</v>
      </c>
      <c r="E22" s="320" t="s">
        <v>390</v>
      </c>
      <c r="F22" s="320" t="s">
        <v>359</v>
      </c>
      <c r="G22" s="320" t="s">
        <v>367</v>
      </c>
      <c r="H22" s="320"/>
      <c r="I22" s="320" t="s">
        <v>424</v>
      </c>
      <c r="J22" s="321" t="s">
        <v>363</v>
      </c>
      <c r="K22" s="322" t="s">
        <v>392</v>
      </c>
      <c r="L22" s="320">
        <f t="shared" si="0"/>
        <v>283</v>
      </c>
      <c r="M22" s="319"/>
      <c r="N22" s="320">
        <f t="shared" si="1"/>
        <v>0</v>
      </c>
      <c r="O22" s="320">
        <f t="shared" si="2"/>
        <v>300</v>
      </c>
      <c r="P22" s="320" t="str">
        <f t="shared" si="3"/>
        <v>empty</v>
      </c>
      <c r="Q22" s="320" t="s">
        <v>370</v>
      </c>
    </row>
    <row r="23" spans="1:17" ht="36.0" customHeight="1">
      <c r="A23" s="316" t="s">
        <v>333</v>
      </c>
      <c r="B23" s="316">
        <v>8</v>
      </c>
      <c r="C23" s="316" t="s">
        <v>393</v>
      </c>
      <c r="D23" s="316" t="s">
        <v>63</v>
      </c>
      <c r="E23" s="316" t="s">
        <v>394</v>
      </c>
      <c r="F23" s="316" t="s">
        <v>359</v>
      </c>
      <c r="G23" s="316" t="s">
        <v>367</v>
      </c>
      <c r="H23" s="316" t="s">
        <v>395</v>
      </c>
      <c r="I23" s="316" t="s">
        <v>425</v>
      </c>
      <c r="J23" s="317" t="s">
        <v>363</v>
      </c>
      <c r="K23" s="318" t="s">
        <v>397</v>
      </c>
      <c r="L23" s="316">
        <f t="shared" si="0"/>
        <v>284</v>
      </c>
      <c r="M23" s="319"/>
      <c r="N23" s="316">
        <f t="shared" si="1"/>
        <v>0</v>
      </c>
      <c r="O23" s="316">
        <f t="shared" si="2"/>
        <v>300</v>
      </c>
      <c r="P23" s="316" t="str">
        <f t="shared" si="3"/>
        <v>empty</v>
      </c>
      <c r="Q23" s="316" t="s">
        <v>398</v>
      </c>
    </row>
    <row r="24" spans="1:17" ht="36.0" customHeight="1">
      <c r="A24" s="320" t="s">
        <v>333</v>
      </c>
      <c r="B24" s="320">
        <v>9</v>
      </c>
      <c r="C24" s="320" t="s">
        <v>399</v>
      </c>
      <c r="D24" s="320" t="s">
        <v>60</v>
      </c>
      <c r="E24" s="320" t="s">
        <v>400</v>
      </c>
      <c r="F24" s="320" t="s">
        <v>359</v>
      </c>
      <c r="G24" s="320" t="s">
        <v>367</v>
      </c>
      <c r="H24" s="320"/>
      <c r="I24" s="320" t="s">
        <v>426</v>
      </c>
      <c r="J24" s="321" t="s">
        <v>363</v>
      </c>
      <c r="K24" s="322" t="s">
        <v>402</v>
      </c>
      <c r="L24" s="320">
        <f t="shared" si="0"/>
        <v>270</v>
      </c>
      <c r="M24" s="319"/>
      <c r="N24" s="320">
        <f t="shared" si="1"/>
        <v>0</v>
      </c>
      <c r="O24" s="320">
        <f t="shared" si="2"/>
        <v>300</v>
      </c>
      <c r="P24" s="320" t="str">
        <f t="shared" si="3"/>
        <v>empty</v>
      </c>
      <c r="Q24" s="320" t="s">
        <v>403</v>
      </c>
    </row>
    <row r="25" spans="1:17" ht="36.0" customHeight="1">
      <c r="A25" s="316" t="s">
        <v>333</v>
      </c>
      <c r="B25" s="316">
        <v>10</v>
      </c>
      <c r="C25" s="316" t="s">
        <v>404</v>
      </c>
      <c r="D25" s="316" t="s">
        <v>56</v>
      </c>
      <c r="E25" s="316" t="s">
        <v>405</v>
      </c>
      <c r="F25" s="316" t="s">
        <v>359</v>
      </c>
      <c r="G25" s="316" t="s">
        <v>367</v>
      </c>
      <c r="H25" s="316"/>
      <c r="I25" s="316" t="s">
        <v>427</v>
      </c>
      <c r="J25" s="317" t="s">
        <v>363</v>
      </c>
      <c r="K25" s="318" t="s">
        <v>407</v>
      </c>
      <c r="L25" s="316">
        <f t="shared" si="0"/>
        <v>258</v>
      </c>
      <c r="M25" s="319"/>
      <c r="N25" s="316">
        <f t="shared" si="1"/>
        <v>0</v>
      </c>
      <c r="O25" s="316">
        <f t="shared" si="2"/>
        <v>300</v>
      </c>
      <c r="P25" s="316" t="str">
        <f t="shared" si="3"/>
        <v>empty</v>
      </c>
      <c r="Q25" s="316" t="s">
        <v>408</v>
      </c>
    </row>
    <row r="26" spans="1:17" ht="48.0" customHeight="1">
      <c r="A26" s="320" t="s">
        <v>428</v>
      </c>
      <c r="B26" s="320"/>
      <c r="C26" s="320" t="s">
        <v>429</v>
      </c>
      <c r="D26" s="320" t="s">
        <v>54</v>
      </c>
      <c r="E26" s="320" t="s">
        <v>430</v>
      </c>
      <c r="F26" s="320" t="s">
        <v>359</v>
      </c>
      <c r="G26" s="320" t="s">
        <v>360</v>
      </c>
      <c r="H26" s="320" t="s">
        <v>431</v>
      </c>
      <c r="I26" s="320" t="s">
        <v>432</v>
      </c>
      <c r="J26" s="321" t="s">
        <v>363</v>
      </c>
      <c r="K26" s="322" t="s">
        <v>433</v>
      </c>
      <c r="L26" s="320">
        <f t="shared" si="0"/>
        <v>260</v>
      </c>
      <c r="M26" s="319"/>
      <c r="N26" s="320">
        <f t="shared" si="1"/>
        <v>0</v>
      </c>
      <c r="O26" s="320">
        <f t="shared" si="2"/>
        <v>300</v>
      </c>
      <c r="P26" s="320" t="str">
        <f t="shared" si="3"/>
        <v>empty</v>
      </c>
      <c r="Q26" s="320" t="s">
        <v>434</v>
      </c>
    </row>
    <row r="27" spans="1:17" ht="84.0" customHeight="1">
      <c r="A27" s="316" t="s">
        <v>428</v>
      </c>
      <c r="B27" s="316"/>
      <c r="C27" s="316" t="s">
        <v>435</v>
      </c>
      <c r="D27" s="316" t="s">
        <v>44</v>
      </c>
      <c r="E27" s="316" t="s">
        <v>436</v>
      </c>
      <c r="F27" s="316" t="s">
        <v>437</v>
      </c>
      <c r="G27" s="316" t="s">
        <v>438</v>
      </c>
      <c r="H27" s="316" t="s">
        <v>439</v>
      </c>
      <c r="I27" s="316" t="s">
        <v>440</v>
      </c>
      <c r="J27" s="317" t="s">
        <v>363</v>
      </c>
      <c r="K27" s="318" t="s">
        <v>441</v>
      </c>
      <c r="L27" s="316">
        <f t="shared" si="0"/>
        <v>287</v>
      </c>
      <c r="M27" s="319"/>
      <c r="N27" s="316">
        <f t="shared" si="1"/>
        <v>0</v>
      </c>
      <c r="O27" s="316">
        <f t="shared" si="2"/>
        <v>300</v>
      </c>
      <c r="P27" s="316" t="str">
        <f t="shared" si="3"/>
        <v>empty</v>
      </c>
      <c r="Q27" s="316" t="s">
        <v>442</v>
      </c>
    </row>
    <row r="28" spans="1:17" ht="36.0" customHeight="1">
      <c r="A28" s="320" t="s">
        <v>428</v>
      </c>
      <c r="B28" s="320"/>
      <c r="C28" s="320" t="s">
        <v>443</v>
      </c>
      <c r="D28" s="320" t="s">
        <v>66</v>
      </c>
      <c r="E28" s="320" t="s">
        <v>444</v>
      </c>
      <c r="F28" s="320" t="s">
        <v>359</v>
      </c>
      <c r="G28" s="320" t="s">
        <v>367</v>
      </c>
      <c r="H28" s="320"/>
      <c r="I28" s="320" t="s">
        <v>445</v>
      </c>
      <c r="J28" s="321" t="s">
        <v>363</v>
      </c>
      <c r="K28" s="322" t="s">
        <v>446</v>
      </c>
      <c r="L28" s="320">
        <f t="shared" si="0"/>
        <v>263</v>
      </c>
      <c r="M28" s="319"/>
      <c r="N28" s="320">
        <f t="shared" si="1"/>
        <v>0</v>
      </c>
      <c r="O28" s="320">
        <f t="shared" si="2"/>
        <v>300</v>
      </c>
      <c r="P28" s="320" t="str">
        <f t="shared" si="3"/>
        <v>empty</v>
      </c>
      <c r="Q28" s="320" t="s">
        <v>370</v>
      </c>
    </row>
    <row r="29" spans="1:17" ht="36.0" customHeight="1">
      <c r="A29" s="316" t="s">
        <v>428</v>
      </c>
      <c r="B29" s="316"/>
      <c r="C29" s="316" t="s">
        <v>447</v>
      </c>
      <c r="D29" s="316" t="s">
        <v>448</v>
      </c>
      <c r="E29" s="316" t="s">
        <v>449</v>
      </c>
      <c r="F29" s="316" t="s">
        <v>359</v>
      </c>
      <c r="G29" s="316" t="s">
        <v>438</v>
      </c>
      <c r="H29" s="316" t="s">
        <v>450</v>
      </c>
      <c r="I29" s="316" t="s">
        <v>451</v>
      </c>
      <c r="J29" s="317" t="s">
        <v>363</v>
      </c>
      <c r="K29" s="318" t="s">
        <v>452</v>
      </c>
      <c r="L29" s="316">
        <f t="shared" si="0"/>
        <v>278</v>
      </c>
      <c r="M29" s="319"/>
      <c r="N29" s="316">
        <f t="shared" si="1"/>
        <v>0</v>
      </c>
      <c r="O29" s="316">
        <f t="shared" si="2"/>
        <v>300</v>
      </c>
      <c r="P29" s="316" t="str">
        <f t="shared" si="3"/>
        <v>empty</v>
      </c>
      <c r="Q29" s="316" t="s">
        <v>370</v>
      </c>
    </row>
    <row r="30" spans="1:17" ht="36.0" customHeight="1">
      <c r="A30" s="320" t="s">
        <v>428</v>
      </c>
      <c r="B30" s="320"/>
      <c r="C30" s="320" t="s">
        <v>453</v>
      </c>
      <c r="D30" s="320" t="s">
        <v>454</v>
      </c>
      <c r="E30" s="320" t="s">
        <v>455</v>
      </c>
      <c r="F30" s="320" t="s">
        <v>359</v>
      </c>
      <c r="G30" s="320" t="s">
        <v>438</v>
      </c>
      <c r="H30" s="320" t="s">
        <v>456</v>
      </c>
      <c r="I30" s="320" t="s">
        <v>457</v>
      </c>
      <c r="J30" s="321" t="s">
        <v>363</v>
      </c>
      <c r="K30" s="322" t="s">
        <v>458</v>
      </c>
      <c r="L30" s="320">
        <f t="shared" si="0"/>
        <v>285</v>
      </c>
      <c r="M30" s="319"/>
      <c r="N30" s="320">
        <f t="shared" si="1"/>
        <v>0</v>
      </c>
      <c r="O30" s="320">
        <f t="shared" si="2"/>
        <v>300</v>
      </c>
      <c r="P30" s="320" t="str">
        <f t="shared" si="3"/>
        <v>empty</v>
      </c>
      <c r="Q30" s="320" t="s">
        <v>370</v>
      </c>
    </row>
    <row r="31" spans="1:17" ht="36.0" customHeight="1">
      <c r="A31" s="316" t="s">
        <v>428</v>
      </c>
      <c r="B31" s="316"/>
      <c r="C31" s="316" t="s">
        <v>459</v>
      </c>
      <c r="D31" s="316" t="s">
        <v>460</v>
      </c>
      <c r="E31" s="316" t="s">
        <v>461</v>
      </c>
      <c r="F31" s="316" t="s">
        <v>359</v>
      </c>
      <c r="G31" s="316" t="s">
        <v>367</v>
      </c>
      <c r="H31" s="316"/>
      <c r="I31" s="316" t="s">
        <v>462</v>
      </c>
      <c r="J31" s="317" t="s">
        <v>363</v>
      </c>
      <c r="K31" s="318" t="s">
        <v>463</v>
      </c>
      <c r="L31" s="316">
        <f t="shared" si="0"/>
        <v>273</v>
      </c>
      <c r="M31" s="319"/>
      <c r="N31" s="316">
        <f t="shared" si="1"/>
        <v>0</v>
      </c>
      <c r="O31" s="316">
        <f t="shared" si="2"/>
        <v>300</v>
      </c>
      <c r="P31" s="316" t="str">
        <f t="shared" si="3"/>
        <v>empty</v>
      </c>
      <c r="Q31" s="316" t="s">
        <v>370</v>
      </c>
    </row>
    <row r="32" spans="1:17" ht="48.0" customHeight="1">
      <c r="A32" s="320" t="s">
        <v>428</v>
      </c>
      <c r="B32" s="320"/>
      <c r="C32" s="320" t="s">
        <v>464</v>
      </c>
      <c r="D32" s="320" t="s">
        <v>66</v>
      </c>
      <c r="E32" s="320" t="s">
        <v>465</v>
      </c>
      <c r="F32" s="320" t="s">
        <v>359</v>
      </c>
      <c r="G32" s="320" t="s">
        <v>438</v>
      </c>
      <c r="H32" s="320"/>
      <c r="I32" s="320" t="s">
        <v>466</v>
      </c>
      <c r="J32" s="321" t="s">
        <v>363</v>
      </c>
      <c r="K32" s="322" t="s">
        <v>467</v>
      </c>
      <c r="L32" s="320">
        <f t="shared" si="0"/>
        <v>284</v>
      </c>
      <c r="M32" s="319"/>
      <c r="N32" s="320">
        <f t="shared" si="1"/>
        <v>0</v>
      </c>
      <c r="O32" s="320">
        <f t="shared" si="2"/>
        <v>300</v>
      </c>
      <c r="P32" s="320" t="str">
        <f t="shared" si="3"/>
        <v>empty</v>
      </c>
      <c r="Q32" s="320" t="s">
        <v>370</v>
      </c>
    </row>
    <row r="33" spans="1:17" ht="48.0" customHeight="1">
      <c r="A33" s="316" t="s">
        <v>428</v>
      </c>
      <c r="B33" s="316"/>
      <c r="C33" s="316" t="s">
        <v>468</v>
      </c>
      <c r="D33" s="316" t="s">
        <v>448</v>
      </c>
      <c r="E33" s="316" t="s">
        <v>469</v>
      </c>
      <c r="F33" s="316" t="s">
        <v>359</v>
      </c>
      <c r="G33" s="316" t="s">
        <v>438</v>
      </c>
      <c r="H33" s="316" t="s">
        <v>470</v>
      </c>
      <c r="I33" s="316" t="s">
        <v>471</v>
      </c>
      <c r="J33" s="317" t="s">
        <v>363</v>
      </c>
      <c r="K33" s="318" t="s">
        <v>472</v>
      </c>
      <c r="L33" s="316">
        <f t="shared" si="0"/>
        <v>277</v>
      </c>
      <c r="M33" s="319"/>
      <c r="N33" s="316">
        <f t="shared" si="1"/>
        <v>0</v>
      </c>
      <c r="O33" s="316">
        <f t="shared" si="2"/>
        <v>300</v>
      </c>
      <c r="P33" s="316" t="str">
        <f t="shared" si="3"/>
        <v>empty</v>
      </c>
      <c r="Q33" s="316" t="s">
        <v>370</v>
      </c>
    </row>
    <row r="34" spans="1:17" ht="60.0" customHeight="1">
      <c r="A34" s="323" t="s">
        <v>428</v>
      </c>
      <c r="B34" s="324"/>
      <c r="C34" s="323" t="s">
        <v>473</v>
      </c>
      <c r="D34" s="320" t="s">
        <v>72</v>
      </c>
      <c r="E34" s="320" t="s">
        <v>474</v>
      </c>
      <c r="F34" s="323" t="s">
        <v>359</v>
      </c>
      <c r="G34" s="323" t="s">
        <v>360</v>
      </c>
      <c r="H34" s="320" t="s">
        <v>475</v>
      </c>
      <c r="I34" s="320" t="s">
        <v>476</v>
      </c>
      <c r="J34" s="323" t="s">
        <v>363</v>
      </c>
      <c r="K34" s="322" t="s">
        <v>477</v>
      </c>
      <c r="L34" s="323">
        <f t="shared" si="0"/>
        <v>285</v>
      </c>
      <c r="M34" s="325"/>
      <c r="N34" s="323">
        <f t="shared" si="1"/>
        <v>0</v>
      </c>
      <c r="O34" s="323">
        <f t="shared" si="2"/>
        <v>300</v>
      </c>
      <c r="P34" s="323" t="str">
        <f t="shared" si="3"/>
        <v>empty</v>
      </c>
      <c r="Q34" s="320" t="s">
        <v>478</v>
      </c>
    </row>
    <row r="35" spans="1:17" ht="36.0" customHeight="1">
      <c r="A35" s="326" t="s">
        <v>428</v>
      </c>
      <c r="B35" s="327"/>
      <c r="C35" s="326" t="s">
        <v>479</v>
      </c>
      <c r="D35" s="316" t="s">
        <v>44</v>
      </c>
      <c r="E35" s="316" t="s">
        <v>480</v>
      </c>
      <c r="F35" s="326" t="s">
        <v>359</v>
      </c>
      <c r="G35" s="326" t="s">
        <v>360</v>
      </c>
      <c r="H35" s="328"/>
      <c r="I35" s="316" t="s">
        <v>481</v>
      </c>
      <c r="J35" s="326" t="s">
        <v>363</v>
      </c>
      <c r="K35" s="318" t="s">
        <v>482</v>
      </c>
      <c r="L35" s="326">
        <f t="shared" si="0"/>
        <v>264</v>
      </c>
      <c r="M35" s="325"/>
      <c r="N35" s="326">
        <f t="shared" si="1"/>
        <v>0</v>
      </c>
      <c r="O35" s="326">
        <f t="shared" si="2"/>
        <v>300</v>
      </c>
      <c r="P35" s="326" t="str">
        <f t="shared" si="3"/>
        <v>empty</v>
      </c>
      <c r="Q35" s="316" t="s">
        <v>434</v>
      </c>
    </row>
    <row r="36" spans="1:17" ht="36.0" customHeight="1">
      <c r="A36" s="323" t="s">
        <v>428</v>
      </c>
      <c r="B36" s="324"/>
      <c r="C36" s="323" t="s">
        <v>483</v>
      </c>
      <c r="D36" s="320" t="s">
        <v>72</v>
      </c>
      <c r="E36" s="320" t="s">
        <v>484</v>
      </c>
      <c r="F36" s="323" t="s">
        <v>410</v>
      </c>
      <c r="G36" s="323" t="s">
        <v>367</v>
      </c>
      <c r="H36" s="329"/>
      <c r="I36" s="320" t="s">
        <v>485</v>
      </c>
      <c r="J36" s="323" t="s">
        <v>363</v>
      </c>
      <c r="K36" s="322" t="s">
        <v>486</v>
      </c>
      <c r="L36" s="323">
        <f t="shared" si="0"/>
        <v>247</v>
      </c>
      <c r="M36" s="325"/>
      <c r="N36" s="323">
        <f t="shared" si="1"/>
        <v>0</v>
      </c>
      <c r="O36" s="323">
        <f t="shared" si="2"/>
        <v>300</v>
      </c>
      <c r="P36" s="323" t="str">
        <f t="shared" si="3"/>
        <v>empty</v>
      </c>
      <c r="Q36" s="320" t="s">
        <v>487</v>
      </c>
    </row>
  </sheetData>
  <mergeCells count="2">
    <mergeCell ref="A1:Q1"/>
    <mergeCell ref="A2:Q2"/>
  </mergeCells>
  <conditionalFormatting sqref="L5:L36">
    <cfRule type="expression" dxfId="1" priority="2" stopIfTrue="1">
      <formula>$L5&gt;$B$3</formula>
    </cfRule>
  </conditionalFormatting>
  <conditionalFormatting sqref="M5:P36">
    <cfRule type="expression" dxfId="0" priority="1" stopIfTrue="1">
      <formula>LEN($M5)&gt;$B$3</formula>
    </cfRule>
  </conditionalFormatting>
  <dataValidations count="1">
    <dataValidation type="custom" allowBlank="1" showInputMessage="1" prompt="WInS Trade note box: max 300 characters. Paste the exact text you will type in WInS." sqref="M5:M33" xr:uid="{00000000-0002-0000-0600-000000000000}">
      <formula1>LEN(M5)&lt;=$B$3</formula1>
    </dataValidation>
  </dataValidation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WANG, JinRui</cp:lastModifiedBy>
  <cp:revision/>
  <dcterms:created xsi:type="dcterms:W3CDTF">2026-09-30T07:49:37Z</dcterms:created>
  <dcterms:modified xsi:type="dcterms:W3CDTF">2026-09-30T07:57:49Z</dcterms:modified>
  <cp:category/>
  <cp:contentStatus/>
</cp:coreProperties>
</file>